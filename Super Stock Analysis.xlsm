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richPivotRecords1.xml" ContentType="application/vnd.openxmlformats-officedocument.spreadsheetml.richPivotRecords+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https://d.docs.live.net/f25ab2b3008e0944/Documents/"/>
    </mc:Choice>
  </mc:AlternateContent>
  <xr:revisionPtr revIDLastSave="2875" documentId="14_{09B187ED-EF33-4FE1-8DC0-577CE8325FCA}" xr6:coauthVersionLast="47" xr6:coauthVersionMax="47" xr10:uidLastSave="{CE82FB23-8D6F-4DE5-AE3B-FB873D3242C6}"/>
  <bookViews>
    <workbookView xWindow="16354" yWindow="-103" windowWidth="33120" windowHeight="18000" xr2:uid="{3F63B2E8-C44E-4254-B380-A5F764C34835}"/>
  </bookViews>
  <sheets>
    <sheet name="LIVE Stock Data" sheetId="6" r:id="rId1"/>
    <sheet name="Volume Pivot Chart" sheetId="9" r:id="rId2"/>
    <sheet name="Pivot Chart" sheetId="11" r:id="rId3"/>
    <sheet name="IMPORTED Stock Data" sheetId="4" r:id="rId4"/>
    <sheet name="Is it a SuperStock" sheetId="5" r:id="rId5"/>
  </sheets>
  <definedNames>
    <definedName name="_xleta.N" hidden="1" xlm="1">#NAME?</definedName>
    <definedName name="_xleta.NOT" hidden="1" xlm="1">#NAME?</definedName>
    <definedName name="_xleta.NOW" hidden="1" xlm="1">#NAME?</definedName>
    <definedName name="_xleta.XLOOKUP" hidden="1" xlm="1">#NAME?</definedName>
  </definedNames>
  <calcPr calcId="191029"/>
  <pivotCaches>
    <pivotCache cacheId="5" r:id="rId6"/>
    <pivotCache cacheId="9"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9" i="6" l="1" a="1"/>
  <c r="B69" i="6" s="1"/>
  <c r="C69" i="6" a="1"/>
  <c r="C69" i="6" s="1"/>
  <c r="D69" i="6" a="1"/>
  <c r="D69" i="6" s="1"/>
  <c r="E69" i="6" a="1"/>
  <c r="E69" i="6" s="1"/>
  <c r="F69" i="6" a="1"/>
  <c r="F69" i="6" s="1"/>
  <c r="G69" i="6" a="1"/>
  <c r="G69" i="6" s="1"/>
  <c r="H69" i="6" a="1"/>
  <c r="H69" i="6" s="1"/>
  <c r="I69" i="6" a="1"/>
  <c r="I69" i="6" s="1"/>
  <c r="J69" i="6" a="1"/>
  <c r="J69" i="6" s="1"/>
  <c r="K69" i="6" a="1"/>
  <c r="K69" i="6" s="1"/>
  <c r="L69" i="6" a="1"/>
  <c r="L69" i="6" s="1"/>
  <c r="M69" i="6" a="1"/>
  <c r="M69" i="6" s="1"/>
  <c r="N69" i="6" a="1"/>
  <c r="N69" i="6" s="1"/>
  <c r="O69" i="6" a="1"/>
  <c r="O69" i="6" s="1"/>
  <c r="P69" i="6" a="1"/>
  <c r="P69" i="6" s="1"/>
  <c r="D18" i="5"/>
  <c r="B5" i="6" a="1"/>
  <c r="B5" i="6" s="1"/>
  <c r="B50" i="6" a="1"/>
  <c r="B50" i="6" s="1"/>
  <c r="C50" i="6" a="1"/>
  <c r="C50" i="6" s="1"/>
  <c r="D50" i="6" a="1"/>
  <c r="D50" i="6" s="1"/>
  <c r="E50" i="6" a="1"/>
  <c r="E50" i="6" s="1"/>
  <c r="F50" i="6" a="1"/>
  <c r="F50" i="6" s="1"/>
  <c r="G50" i="6" a="1"/>
  <c r="G50" i="6" s="1"/>
  <c r="H50" i="6" a="1"/>
  <c r="H50" i="6" s="1"/>
  <c r="I50" i="6" a="1"/>
  <c r="I50" i="6" s="1"/>
  <c r="J50" i="6" a="1"/>
  <c r="J50" i="6" s="1"/>
  <c r="K50" i="6" a="1"/>
  <c r="K50" i="6" s="1"/>
  <c r="L50" i="6" a="1"/>
  <c r="L50" i="6" s="1"/>
  <c r="M50" i="6" a="1"/>
  <c r="M50" i="6" s="1"/>
  <c r="N50" i="6" a="1"/>
  <c r="N50" i="6" s="1"/>
  <c r="O50" i="6" a="1"/>
  <c r="O50" i="6" s="1"/>
  <c r="P50" i="6" a="1"/>
  <c r="P50" i="6" s="1"/>
  <c r="B7" i="6" a="1"/>
  <c r="B7" i="6" s="1"/>
  <c r="C7" i="6" a="1"/>
  <c r="C7" i="6" s="1"/>
  <c r="D7" i="6" a="1"/>
  <c r="D7" i="6" s="1"/>
  <c r="E7" i="6" a="1"/>
  <c r="E7" i="6" s="1"/>
  <c r="F7" i="6" a="1"/>
  <c r="F7" i="6" s="1"/>
  <c r="G7" i="6" a="1"/>
  <c r="G7" i="6" s="1"/>
  <c r="H7" i="6" a="1"/>
  <c r="H7" i="6" s="1"/>
  <c r="I7" i="6" a="1"/>
  <c r="I7" i="6" s="1"/>
  <c r="J7" i="6" a="1"/>
  <c r="J7" i="6" s="1"/>
  <c r="K7" i="6" a="1"/>
  <c r="K7" i="6" s="1"/>
  <c r="L7" i="6" a="1"/>
  <c r="L7" i="6" s="1"/>
  <c r="M7" i="6" a="1"/>
  <c r="M7" i="6" s="1"/>
  <c r="N7" i="6" a="1"/>
  <c r="N7" i="6" s="1"/>
  <c r="O7" i="6" a="1"/>
  <c r="O7" i="6" s="1"/>
  <c r="P7" i="6" a="1"/>
  <c r="P7" i="6" s="1"/>
  <c r="C5" i="6" a="1"/>
  <c r="C5" i="6" s="1"/>
  <c r="D5" i="6" a="1"/>
  <c r="D5" i="6" s="1"/>
  <c r="E5" i="6" a="1"/>
  <c r="E5" i="6" s="1"/>
  <c r="F5" i="6" a="1"/>
  <c r="F5" i="6" s="1"/>
  <c r="G5" i="6" a="1"/>
  <c r="G5" i="6" s="1"/>
  <c r="H5" i="6" a="1"/>
  <c r="H5" i="6" s="1"/>
  <c r="I5" i="6" a="1"/>
  <c r="I5" i="6" s="1"/>
  <c r="J5" i="6" a="1"/>
  <c r="J5" i="6" s="1"/>
  <c r="K5" i="6" a="1"/>
  <c r="K5" i="6" s="1"/>
  <c r="L5" i="6" a="1"/>
  <c r="L5" i="6" s="1"/>
  <c r="M5" i="6" a="1"/>
  <c r="M5" i="6" s="1"/>
  <c r="N5" i="6" a="1"/>
  <c r="N5" i="6" s="1"/>
  <c r="O5" i="6" a="1"/>
  <c r="O5" i="6" s="1"/>
  <c r="P5" i="6" a="1"/>
  <c r="P5" i="6" s="1"/>
  <c r="B53" i="6" a="1"/>
  <c r="B53" i="6" s="1"/>
  <c r="C53" i="6" a="1"/>
  <c r="C53" i="6" s="1"/>
  <c r="D53" i="6" a="1"/>
  <c r="D53" i="6" s="1"/>
  <c r="E53" i="6" a="1"/>
  <c r="E53" i="6" s="1"/>
  <c r="F53" i="6" a="1"/>
  <c r="F53" i="6" s="1"/>
  <c r="G53" i="6" a="1"/>
  <c r="G53" i="6" s="1"/>
  <c r="H53" i="6" a="1"/>
  <c r="H53" i="6" s="1"/>
  <c r="I53" i="6" a="1"/>
  <c r="I53" i="6" s="1"/>
  <c r="J53" i="6" a="1"/>
  <c r="J53" i="6" s="1"/>
  <c r="K53" i="6" a="1"/>
  <c r="K53" i="6" s="1"/>
  <c r="L53" i="6" a="1"/>
  <c r="L53" i="6" s="1"/>
  <c r="M53" i="6" a="1"/>
  <c r="M53" i="6" s="1"/>
  <c r="N53" i="6" a="1"/>
  <c r="N53" i="6" s="1"/>
  <c r="O53" i="6" a="1"/>
  <c r="O53" i="6" s="1"/>
  <c r="P53" i="6" a="1"/>
  <c r="P53" i="6" s="1"/>
  <c r="B31" i="6" a="1"/>
  <c r="B31" i="6" s="1"/>
  <c r="C31" i="6" a="1"/>
  <c r="C31" i="6" s="1"/>
  <c r="D31" i="6" a="1"/>
  <c r="D31" i="6" s="1"/>
  <c r="E31" i="6" a="1"/>
  <c r="E31" i="6" s="1"/>
  <c r="F31" i="6" a="1"/>
  <c r="F31" i="6" s="1"/>
  <c r="G31" i="6" a="1"/>
  <c r="G31" i="6" s="1"/>
  <c r="H31" i="6" a="1"/>
  <c r="H31" i="6" s="1"/>
  <c r="I31" i="6" a="1"/>
  <c r="I31" i="6" s="1"/>
  <c r="J31" i="6" a="1"/>
  <c r="J31" i="6" s="1"/>
  <c r="K31" i="6" a="1"/>
  <c r="K31" i="6" s="1"/>
  <c r="L31" i="6" a="1"/>
  <c r="L31" i="6" s="1"/>
  <c r="M31" i="6" a="1"/>
  <c r="M31" i="6" s="1"/>
  <c r="N31" i="6" a="1"/>
  <c r="N31" i="6" s="1"/>
  <c r="O31" i="6" a="1"/>
  <c r="O31" i="6" s="1"/>
  <c r="P31" i="6" a="1"/>
  <c r="P31" i="6" s="1"/>
  <c r="B8" i="6" a="1"/>
  <c r="B8" i="6" s="1"/>
  <c r="C8" i="6" a="1"/>
  <c r="C8" i="6" s="1"/>
  <c r="D8" i="6" a="1"/>
  <c r="D8" i="6" s="1"/>
  <c r="E8" i="6" a="1"/>
  <c r="E8" i="6" s="1"/>
  <c r="F8" i="6" a="1"/>
  <c r="F8" i="6" s="1"/>
  <c r="G8" i="6" a="1"/>
  <c r="G8" i="6" s="1"/>
  <c r="H8" i="6" a="1"/>
  <c r="H8" i="6" s="1"/>
  <c r="I8" i="6" a="1"/>
  <c r="I8" i="6" s="1"/>
  <c r="J8" i="6" a="1"/>
  <c r="J8" i="6" s="1"/>
  <c r="K8" i="6" a="1"/>
  <c r="K8" i="6" s="1"/>
  <c r="L8" i="6" a="1"/>
  <c r="L8" i="6" s="1"/>
  <c r="M8" i="6" a="1"/>
  <c r="M8" i="6" s="1"/>
  <c r="N8" i="6" a="1"/>
  <c r="N8" i="6" s="1"/>
  <c r="O8" i="6" a="1"/>
  <c r="O8" i="6" s="1"/>
  <c r="P8" i="6" a="1"/>
  <c r="P8" i="6" s="1"/>
  <c r="D15" i="5"/>
  <c r="B6" i="6" a="1"/>
  <c r="B6" i="6" s="1"/>
  <c r="C6" i="6" a="1"/>
  <c r="C6" i="6" s="1"/>
  <c r="D6" i="6" a="1"/>
  <c r="D6" i="6" s="1"/>
  <c r="E6" i="6" a="1"/>
  <c r="E6" i="6" s="1"/>
  <c r="F6" i="6" a="1"/>
  <c r="F6" i="6" s="1"/>
  <c r="G6" i="6" a="1"/>
  <c r="G6" i="6" s="1"/>
  <c r="H6" i="6" a="1"/>
  <c r="H6" i="6" s="1"/>
  <c r="I6" i="6" a="1"/>
  <c r="I6" i="6" s="1"/>
  <c r="J6" i="6" a="1"/>
  <c r="J6" i="6" s="1"/>
  <c r="K6" i="6" a="1"/>
  <c r="K6" i="6" s="1"/>
  <c r="L6" i="6" a="1"/>
  <c r="L6" i="6" s="1"/>
  <c r="M6" i="6" a="1"/>
  <c r="M6" i="6" s="1"/>
  <c r="N6" i="6" a="1"/>
  <c r="N6" i="6" s="1"/>
  <c r="O6" i="6" a="1"/>
  <c r="O6" i="6" s="1"/>
  <c r="P6" i="6" a="1"/>
  <c r="P6" i="6" s="1"/>
  <c r="B22" i="6" a="1"/>
  <c r="B22" i="6" s="1"/>
  <c r="C22" i="6" a="1"/>
  <c r="C22" i="6" s="1"/>
  <c r="D22" i="6" a="1"/>
  <c r="D22" i="6" s="1"/>
  <c r="E22" i="6" a="1"/>
  <c r="E22" i="6" s="1"/>
  <c r="F22" i="6" a="1"/>
  <c r="F22" i="6" s="1"/>
  <c r="G22" i="6" a="1"/>
  <c r="G22" i="6" s="1"/>
  <c r="H22" i="6" a="1"/>
  <c r="H22" i="6" s="1"/>
  <c r="I22" i="6" a="1"/>
  <c r="I22" i="6" s="1"/>
  <c r="J22" i="6" a="1"/>
  <c r="J22" i="6" s="1"/>
  <c r="K22" i="6" a="1"/>
  <c r="K22" i="6" s="1"/>
  <c r="L22" i="6" a="1"/>
  <c r="L22" i="6" s="1"/>
  <c r="M22" i="6" a="1"/>
  <c r="M22" i="6" s="1"/>
  <c r="N22" i="6" a="1"/>
  <c r="N22" i="6" s="1"/>
  <c r="O22" i="6" a="1"/>
  <c r="O22" i="6" s="1"/>
  <c r="P22" i="6" a="1"/>
  <c r="P22" i="6" s="1"/>
  <c r="B52" i="6" a="1"/>
  <c r="B52" i="6" s="1"/>
  <c r="C52" i="6" a="1"/>
  <c r="C52" i="6" s="1"/>
  <c r="D52" i="6" a="1"/>
  <c r="D52" i="6" s="1"/>
  <c r="E52" i="6" a="1"/>
  <c r="E52" i="6" s="1"/>
  <c r="F52" i="6" a="1"/>
  <c r="F52" i="6" s="1"/>
  <c r="G52" i="6" a="1"/>
  <c r="G52" i="6" s="1"/>
  <c r="H52" i="6" a="1"/>
  <c r="H52" i="6" s="1"/>
  <c r="I52" i="6" a="1"/>
  <c r="I52" i="6" s="1"/>
  <c r="J52" i="6" a="1"/>
  <c r="J52" i="6" s="1"/>
  <c r="K52" i="6" a="1"/>
  <c r="K52" i="6" s="1"/>
  <c r="L52" i="6" a="1"/>
  <c r="L52" i="6" s="1"/>
  <c r="M52" i="6" a="1"/>
  <c r="M52" i="6" s="1"/>
  <c r="N52" i="6" a="1"/>
  <c r="N52" i="6" s="1"/>
  <c r="O52" i="6" a="1"/>
  <c r="O52" i="6" s="1"/>
  <c r="P52" i="6" a="1"/>
  <c r="P52" i="6" s="1"/>
  <c r="B4" i="6" a="1"/>
  <c r="B4" i="6" s="1"/>
  <c r="C4" i="6" a="1"/>
  <c r="C4" i="6" s="1"/>
  <c r="D4" i="6" a="1"/>
  <c r="D4" i="6" s="1"/>
  <c r="E4" i="6" a="1"/>
  <c r="E4" i="6" s="1"/>
  <c r="F4" i="6" a="1"/>
  <c r="F4" i="6" s="1"/>
  <c r="G4" i="6" a="1"/>
  <c r="G4" i="6" s="1"/>
  <c r="H4" i="6" a="1"/>
  <c r="H4" i="6" s="1"/>
  <c r="I4" i="6" a="1"/>
  <c r="I4" i="6" s="1"/>
  <c r="J4" i="6" a="1"/>
  <c r="J4" i="6" s="1"/>
  <c r="K4" i="6" a="1"/>
  <c r="K4" i="6" s="1"/>
  <c r="L4" i="6" a="1"/>
  <c r="L4" i="6" s="1"/>
  <c r="M4" i="6" a="1"/>
  <c r="M4" i="6" s="1"/>
  <c r="N4" i="6" a="1"/>
  <c r="N4" i="6" s="1"/>
  <c r="O4" i="6" a="1"/>
  <c r="O4" i="6" s="1"/>
  <c r="P4" i="6" a="1"/>
  <c r="P4" i="6" s="1"/>
  <c r="D27" i="5"/>
  <c r="D24" i="5"/>
  <c r="D21" i="5"/>
  <c r="D9" i="5"/>
  <c r="D6" i="5"/>
  <c r="B27" i="5"/>
  <c r="B24" i="5"/>
  <c r="B14" i="5"/>
  <c r="A22" i="5"/>
  <c r="B21" i="5" s="1"/>
  <c r="B8" i="5"/>
  <c r="B24" i="6" a="1"/>
  <c r="B24" i="6" s="1"/>
  <c r="C24" i="6" a="1"/>
  <c r="C24" i="6" s="1"/>
  <c r="D24" i="6" a="1"/>
  <c r="D24" i="6" s="1"/>
  <c r="E24" i="6" a="1"/>
  <c r="E24" i="6" s="1"/>
  <c r="F24" i="6" a="1"/>
  <c r="F24" i="6" s="1"/>
  <c r="G24" i="6" a="1"/>
  <c r="G24" i="6" s="1"/>
  <c r="H24" i="6" a="1"/>
  <c r="H24" i="6" s="1"/>
  <c r="I24" i="6" a="1"/>
  <c r="I24" i="6" s="1"/>
  <c r="J24" i="6" a="1"/>
  <c r="J24" i="6" s="1"/>
  <c r="K24" i="6" a="1"/>
  <c r="K24" i="6" s="1"/>
  <c r="L24" i="6" a="1"/>
  <c r="L24" i="6" s="1"/>
  <c r="M24" i="6" a="1"/>
  <c r="M24" i="6" s="1"/>
  <c r="N24" i="6" a="1"/>
  <c r="N24" i="6" s="1"/>
  <c r="O24" i="6" a="1"/>
  <c r="O24" i="6" s="1"/>
  <c r="P24" i="6" a="1"/>
  <c r="P24" i="6" s="1"/>
  <c r="B12" i="6" a="1"/>
  <c r="B12" i="6" s="1"/>
  <c r="C12" i="6" a="1"/>
  <c r="C12" i="6" s="1"/>
  <c r="D12" i="6" a="1"/>
  <c r="D12" i="6" s="1"/>
  <c r="E12" i="6" a="1"/>
  <c r="E12" i="6" s="1"/>
  <c r="F12" i="6" a="1"/>
  <c r="F12" i="6" s="1"/>
  <c r="G12" i="6" a="1"/>
  <c r="G12" i="6" s="1"/>
  <c r="H12" i="6" a="1"/>
  <c r="H12" i="6" s="1"/>
  <c r="I12" i="6" a="1"/>
  <c r="I12" i="6" s="1"/>
  <c r="J12" i="6" a="1"/>
  <c r="J12" i="6" s="1"/>
  <c r="K12" i="6" a="1"/>
  <c r="K12" i="6" s="1"/>
  <c r="L12" i="6" a="1"/>
  <c r="L12" i="6" s="1"/>
  <c r="M12" i="6" a="1"/>
  <c r="M12" i="6" s="1"/>
  <c r="N12" i="6" a="1"/>
  <c r="N12" i="6" s="1"/>
  <c r="O12" i="6" a="1"/>
  <c r="O12" i="6" s="1"/>
  <c r="P12" i="6" a="1"/>
  <c r="P12" i="6" s="1"/>
  <c r="F51" i="6" a="1"/>
  <c r="F51" i="6" s="1"/>
  <c r="B48" i="6" a="1"/>
  <c r="B48" i="6" s="1"/>
  <c r="C48" i="6" a="1"/>
  <c r="C48" i="6" s="1"/>
  <c r="D48" i="6" a="1"/>
  <c r="D48" i="6" s="1"/>
  <c r="E48" i="6" a="1"/>
  <c r="E48" i="6" s="1"/>
  <c r="F48" i="6" a="1"/>
  <c r="F48" i="6" s="1"/>
  <c r="G48" i="6" a="1"/>
  <c r="G48" i="6" s="1"/>
  <c r="H48" i="6" a="1"/>
  <c r="H48" i="6" s="1"/>
  <c r="I48" i="6" a="1"/>
  <c r="I48" i="6" s="1"/>
  <c r="J48" i="6" a="1"/>
  <c r="J48" i="6" s="1"/>
  <c r="K48" i="6" a="1"/>
  <c r="K48" i="6" s="1"/>
  <c r="L48" i="6" a="1"/>
  <c r="L48" i="6" s="1"/>
  <c r="M48" i="6" a="1"/>
  <c r="M48" i="6" s="1"/>
  <c r="N48" i="6" a="1"/>
  <c r="N48" i="6" s="1"/>
  <c r="O48" i="6" a="1"/>
  <c r="O48" i="6" s="1"/>
  <c r="P48" i="6" a="1"/>
  <c r="P48" i="6" s="1"/>
  <c r="B41" i="6" a="1"/>
  <c r="B41" i="6" s="1"/>
  <c r="C41" i="6" a="1"/>
  <c r="C41" i="6" s="1"/>
  <c r="D41" i="6" a="1"/>
  <c r="D41" i="6" s="1"/>
  <c r="E41" i="6" a="1"/>
  <c r="E41" i="6" s="1"/>
  <c r="F41" i="6" a="1"/>
  <c r="F41" i="6" s="1"/>
  <c r="G41" i="6" a="1"/>
  <c r="G41" i="6" s="1"/>
  <c r="H41" i="6" a="1"/>
  <c r="H41" i="6" s="1"/>
  <c r="I41" i="6" a="1"/>
  <c r="I41" i="6" s="1"/>
  <c r="J41" i="6" a="1"/>
  <c r="J41" i="6" s="1"/>
  <c r="K41" i="6" a="1"/>
  <c r="K41" i="6" s="1"/>
  <c r="L41" i="6" a="1"/>
  <c r="L41" i="6" s="1"/>
  <c r="M41" i="6" a="1"/>
  <c r="M41" i="6" s="1"/>
  <c r="N41" i="6" a="1"/>
  <c r="N41" i="6" s="1"/>
  <c r="O41" i="6" a="1"/>
  <c r="O41" i="6" s="1"/>
  <c r="P41" i="6" a="1"/>
  <c r="P41" i="6" s="1"/>
  <c r="B60" i="6" a="1"/>
  <c r="B60" i="6" s="1"/>
  <c r="C60" i="6" a="1"/>
  <c r="C60" i="6" s="1"/>
  <c r="D60" i="6" a="1"/>
  <c r="D60" i="6" s="1"/>
  <c r="E60" i="6" a="1"/>
  <c r="E60" i="6" s="1"/>
  <c r="F60" i="6" a="1"/>
  <c r="F60" i="6" s="1"/>
  <c r="G60" i="6" a="1"/>
  <c r="G60" i="6" s="1"/>
  <c r="H60" i="6" a="1"/>
  <c r="H60" i="6" s="1"/>
  <c r="I60" i="6" a="1"/>
  <c r="I60" i="6" s="1"/>
  <c r="J60" i="6" a="1"/>
  <c r="J60" i="6" s="1"/>
  <c r="K60" i="6" a="1"/>
  <c r="K60" i="6" s="1"/>
  <c r="L60" i="6" a="1"/>
  <c r="L60" i="6" s="1"/>
  <c r="M60" i="6" a="1"/>
  <c r="M60" i="6" s="1"/>
  <c r="N60" i="6" a="1"/>
  <c r="N60" i="6" s="1"/>
  <c r="O60" i="6" a="1"/>
  <c r="O60" i="6" s="1"/>
  <c r="P60" i="6" a="1"/>
  <c r="P60" i="6" s="1"/>
  <c r="B55" i="6" a="1"/>
  <c r="B55" i="6" s="1"/>
  <c r="C55" i="6" a="1"/>
  <c r="C55" i="6" s="1"/>
  <c r="D55" i="6" a="1"/>
  <c r="D55" i="6" s="1"/>
  <c r="E55" i="6" a="1"/>
  <c r="E55" i="6" s="1"/>
  <c r="F55" i="6" a="1"/>
  <c r="F55" i="6" s="1"/>
  <c r="G55" i="6" a="1"/>
  <c r="G55" i="6" s="1"/>
  <c r="H55" i="6" a="1"/>
  <c r="H55" i="6" s="1"/>
  <c r="I55" i="6" a="1"/>
  <c r="I55" i="6" s="1"/>
  <c r="J55" i="6" a="1"/>
  <c r="J55" i="6" s="1"/>
  <c r="K55" i="6" a="1"/>
  <c r="K55" i="6" s="1"/>
  <c r="L55" i="6" a="1"/>
  <c r="L55" i="6" s="1"/>
  <c r="M55" i="6" a="1"/>
  <c r="M55" i="6" s="1"/>
  <c r="N55" i="6" a="1"/>
  <c r="N55" i="6" s="1"/>
  <c r="O55" i="6" a="1"/>
  <c r="O55" i="6" s="1"/>
  <c r="P55" i="6" a="1"/>
  <c r="P55" i="6" s="1"/>
  <c r="B51" i="6" a="1"/>
  <c r="B51" i="6" s="1"/>
  <c r="C51" i="6" a="1"/>
  <c r="C51" i="6" s="1"/>
  <c r="D51" i="6" a="1"/>
  <c r="D51" i="6" s="1"/>
  <c r="E51" i="6" a="1"/>
  <c r="E51" i="6" s="1"/>
  <c r="G51" i="6" a="1"/>
  <c r="G51" i="6" s="1"/>
  <c r="H51" i="6" a="1"/>
  <c r="H51" i="6" s="1"/>
  <c r="I51" i="6" a="1"/>
  <c r="I51" i="6" s="1"/>
  <c r="J51" i="6" a="1"/>
  <c r="J51" i="6" s="1"/>
  <c r="K51" i="6" a="1"/>
  <c r="K51" i="6" s="1"/>
  <c r="L51" i="6" a="1"/>
  <c r="L51" i="6" s="1"/>
  <c r="M51" i="6" a="1"/>
  <c r="M51" i="6" s="1"/>
  <c r="N51" i="6" a="1"/>
  <c r="N51" i="6" s="1"/>
  <c r="O51" i="6" a="1"/>
  <c r="O51" i="6" s="1"/>
  <c r="P51" i="6" a="1"/>
  <c r="P51" i="6" s="1"/>
  <c r="B54" i="6" a="1"/>
  <c r="B54" i="6" s="1"/>
  <c r="C54" i="6" a="1"/>
  <c r="C54" i="6" s="1"/>
  <c r="D54" i="6" a="1"/>
  <c r="D54" i="6" s="1"/>
  <c r="E54" i="6" a="1"/>
  <c r="E54" i="6" s="1"/>
  <c r="F54" i="6" a="1"/>
  <c r="F54" i="6" s="1"/>
  <c r="G54" i="6" a="1"/>
  <c r="G54" i="6" s="1"/>
  <c r="H54" i="6" a="1"/>
  <c r="H54" i="6" s="1"/>
  <c r="I54" i="6" a="1"/>
  <c r="I54" i="6" s="1"/>
  <c r="J54" i="6" a="1"/>
  <c r="J54" i="6" s="1"/>
  <c r="K54" i="6" a="1"/>
  <c r="K54" i="6" s="1"/>
  <c r="L54" i="6" a="1"/>
  <c r="L54" i="6" s="1"/>
  <c r="M54" i="6" a="1"/>
  <c r="M54" i="6" s="1"/>
  <c r="N54" i="6" a="1"/>
  <c r="N54" i="6" s="1"/>
  <c r="O54" i="6" a="1"/>
  <c r="O54" i="6" s="1"/>
  <c r="P54" i="6" a="1"/>
  <c r="P54" i="6" s="1"/>
  <c r="B59" i="6" a="1"/>
  <c r="B59" i="6" s="1"/>
  <c r="C59" i="6" a="1"/>
  <c r="C59" i="6" s="1"/>
  <c r="D59" i="6" a="1"/>
  <c r="D59" i="6" s="1"/>
  <c r="E59" i="6" a="1"/>
  <c r="E59" i="6" s="1"/>
  <c r="F59" i="6" a="1"/>
  <c r="F59" i="6" s="1"/>
  <c r="G59" i="6" a="1"/>
  <c r="G59" i="6" s="1"/>
  <c r="H59" i="6" a="1"/>
  <c r="H59" i="6" s="1"/>
  <c r="I59" i="6" a="1"/>
  <c r="I59" i="6" s="1"/>
  <c r="J59" i="6" a="1"/>
  <c r="J59" i="6" s="1"/>
  <c r="K59" i="6" a="1"/>
  <c r="K59" i="6" s="1"/>
  <c r="L59" i="6" a="1"/>
  <c r="L59" i="6" s="1"/>
  <c r="M59" i="6" a="1"/>
  <c r="M59" i="6" s="1"/>
  <c r="N59" i="6" a="1"/>
  <c r="N59" i="6" s="1"/>
  <c r="O59" i="6" a="1"/>
  <c r="O59" i="6" s="1"/>
  <c r="P59" i="6" a="1"/>
  <c r="P59" i="6" s="1"/>
  <c r="B49" i="6" a="1"/>
  <c r="B49" i="6" s="1"/>
  <c r="C49" i="6" a="1"/>
  <c r="C49" i="6" s="1"/>
  <c r="D49" i="6" a="1"/>
  <c r="D49" i="6" s="1"/>
  <c r="E49" i="6" a="1"/>
  <c r="E49" i="6" s="1"/>
  <c r="F49" i="6" a="1"/>
  <c r="F49" i="6" s="1"/>
  <c r="G49" i="6" a="1"/>
  <c r="G49" i="6" s="1"/>
  <c r="H49" i="6" a="1"/>
  <c r="H49" i="6" s="1"/>
  <c r="I49" i="6" a="1"/>
  <c r="I49" i="6" s="1"/>
  <c r="J49" i="6" a="1"/>
  <c r="J49" i="6" s="1"/>
  <c r="K49" i="6" a="1"/>
  <c r="K49" i="6" s="1"/>
  <c r="L49" i="6" a="1"/>
  <c r="L49" i="6" s="1"/>
  <c r="M49" i="6" a="1"/>
  <c r="M49" i="6" s="1"/>
  <c r="N49" i="6" a="1"/>
  <c r="N49" i="6" s="1"/>
  <c r="O49" i="6" a="1"/>
  <c r="O49" i="6" s="1"/>
  <c r="P49" i="6" a="1"/>
  <c r="P49" i="6" s="1"/>
  <c r="B21" i="6" a="1"/>
  <c r="B21" i="6" s="1"/>
  <c r="C21" i="6" a="1"/>
  <c r="C21" i="6" s="1"/>
  <c r="D21" i="6" a="1"/>
  <c r="D21" i="6" s="1"/>
  <c r="E21" i="6" a="1"/>
  <c r="E21" i="6" s="1"/>
  <c r="F21" i="6" a="1"/>
  <c r="F21" i="6" s="1"/>
  <c r="G21" i="6" a="1"/>
  <c r="G21" i="6" s="1"/>
  <c r="H21" i="6" a="1"/>
  <c r="H21" i="6" s="1"/>
  <c r="I21" i="6" a="1"/>
  <c r="I21" i="6" s="1"/>
  <c r="J21" i="6" a="1"/>
  <c r="J21" i="6" s="1"/>
  <c r="K21" i="6" a="1"/>
  <c r="K21" i="6" s="1"/>
  <c r="L21" i="6" a="1"/>
  <c r="L21" i="6" s="1"/>
  <c r="M21" i="6" a="1"/>
  <c r="M21" i="6" s="1"/>
  <c r="N21" i="6" a="1"/>
  <c r="N21" i="6" s="1"/>
  <c r="O21" i="6" a="1"/>
  <c r="O21" i="6" s="1"/>
  <c r="P21" i="6" a="1"/>
  <c r="P21" i="6" s="1"/>
  <c r="B15" i="6" a="1"/>
  <c r="B15" i="6" s="1"/>
  <c r="C15" i="6" a="1"/>
  <c r="C15" i="6" s="1"/>
  <c r="D15" i="6" a="1"/>
  <c r="D15" i="6" s="1"/>
  <c r="E15" i="6" a="1"/>
  <c r="E15" i="6" s="1"/>
  <c r="F15" i="6" a="1"/>
  <c r="F15" i="6" s="1"/>
  <c r="G15" i="6" a="1"/>
  <c r="G15" i="6" s="1"/>
  <c r="H15" i="6" a="1"/>
  <c r="H15" i="6" s="1"/>
  <c r="I15" i="6" a="1"/>
  <c r="I15" i="6" s="1"/>
  <c r="J15" i="6" a="1"/>
  <c r="J15" i="6" s="1"/>
  <c r="K15" i="6" a="1"/>
  <c r="K15" i="6" s="1"/>
  <c r="L15" i="6" a="1"/>
  <c r="L15" i="6" s="1"/>
  <c r="M15" i="6" a="1"/>
  <c r="M15" i="6" s="1"/>
  <c r="N15" i="6" a="1"/>
  <c r="N15" i="6" s="1"/>
  <c r="O15" i="6" a="1"/>
  <c r="O15" i="6" s="1"/>
  <c r="P15" i="6" a="1"/>
  <c r="P15" i="6" s="1"/>
  <c r="B43" i="6" a="1"/>
  <c r="B43" i="6" s="1"/>
  <c r="C43" i="6" a="1"/>
  <c r="C43" i="6" s="1"/>
  <c r="D43" i="6" a="1"/>
  <c r="D43" i="6" s="1"/>
  <c r="E43" i="6" a="1"/>
  <c r="E43" i="6" s="1"/>
  <c r="F43" i="6" a="1"/>
  <c r="F43" i="6" s="1"/>
  <c r="G43" i="6" a="1"/>
  <c r="G43" i="6" s="1"/>
  <c r="H43" i="6" a="1"/>
  <c r="H43" i="6" s="1"/>
  <c r="I43" i="6" a="1"/>
  <c r="I43" i="6" s="1"/>
  <c r="J43" i="6" a="1"/>
  <c r="J43" i="6" s="1"/>
  <c r="K43" i="6" a="1"/>
  <c r="K43" i="6" s="1"/>
  <c r="L43" i="6" a="1"/>
  <c r="L43" i="6" s="1"/>
  <c r="M43" i="6" a="1"/>
  <c r="M43" i="6" s="1"/>
  <c r="N43" i="6" a="1"/>
  <c r="N43" i="6" s="1"/>
  <c r="O43" i="6" a="1"/>
  <c r="O43" i="6" s="1"/>
  <c r="P43" i="6" a="1"/>
  <c r="P43" i="6" s="1"/>
  <c r="B30" i="6" a="1"/>
  <c r="B30" i="6" s="1"/>
  <c r="C30" i="6" a="1"/>
  <c r="C30" i="6" s="1"/>
  <c r="D30" i="6" a="1"/>
  <c r="D30" i="6" s="1"/>
  <c r="E30" i="6" a="1"/>
  <c r="E30" i="6" s="1"/>
  <c r="F30" i="6" a="1"/>
  <c r="F30" i="6" s="1"/>
  <c r="G30" i="6" a="1"/>
  <c r="G30" i="6" s="1"/>
  <c r="H30" i="6" a="1"/>
  <c r="H30" i="6" s="1"/>
  <c r="I30" i="6" a="1"/>
  <c r="I30" i="6" s="1"/>
  <c r="J30" i="6" a="1"/>
  <c r="J30" i="6" s="1"/>
  <c r="K30" i="6" a="1"/>
  <c r="K30" i="6" s="1"/>
  <c r="L30" i="6" a="1"/>
  <c r="L30" i="6" s="1"/>
  <c r="M30" i="6" a="1"/>
  <c r="M30" i="6" s="1"/>
  <c r="N30" i="6" a="1"/>
  <c r="N30" i="6" s="1"/>
  <c r="O30" i="6" a="1"/>
  <c r="O30" i="6" s="1"/>
  <c r="P30" i="6" a="1"/>
  <c r="P30" i="6" s="1"/>
  <c r="B18" i="6" a="1"/>
  <c r="B18" i="6" s="1"/>
  <c r="C18" i="6" a="1"/>
  <c r="C18" i="6" s="1"/>
  <c r="D18" i="6" a="1"/>
  <c r="D18" i="6" s="1"/>
  <c r="E18" i="6" a="1"/>
  <c r="E18" i="6" s="1"/>
  <c r="F18" i="6" a="1"/>
  <c r="F18" i="6" s="1"/>
  <c r="G18" i="6" a="1"/>
  <c r="G18" i="6" s="1"/>
  <c r="H18" i="6" a="1"/>
  <c r="H18" i="6" s="1"/>
  <c r="I18" i="6" a="1"/>
  <c r="I18" i="6" s="1"/>
  <c r="J18" i="6" a="1"/>
  <c r="J18" i="6" s="1"/>
  <c r="K18" i="6" a="1"/>
  <c r="K18" i="6" s="1"/>
  <c r="L18" i="6" a="1"/>
  <c r="L18" i="6" s="1"/>
  <c r="M18" i="6" a="1"/>
  <c r="M18" i="6" s="1"/>
  <c r="N18" i="6" a="1"/>
  <c r="N18" i="6" s="1"/>
  <c r="O18" i="6" a="1"/>
  <c r="O18" i="6" s="1"/>
  <c r="P18" i="6" a="1"/>
  <c r="P18" i="6" s="1"/>
  <c r="B63" i="6" a="1"/>
  <c r="B63" i="6" s="1"/>
  <c r="C63" i="6" a="1"/>
  <c r="C63" i="6" s="1"/>
  <c r="D63" i="6" a="1"/>
  <c r="D63" i="6" s="1"/>
  <c r="E63" i="6" a="1"/>
  <c r="E63" i="6" s="1"/>
  <c r="F63" i="6" a="1"/>
  <c r="F63" i="6" s="1"/>
  <c r="G63" i="6" a="1"/>
  <c r="G63" i="6" s="1"/>
  <c r="H63" i="6" a="1"/>
  <c r="H63" i="6" s="1"/>
  <c r="I63" i="6" a="1"/>
  <c r="I63" i="6" s="1"/>
  <c r="J63" i="6" a="1"/>
  <c r="J63" i="6" s="1"/>
  <c r="K63" i="6" a="1"/>
  <c r="K63" i="6" s="1"/>
  <c r="L63" i="6" a="1"/>
  <c r="L63" i="6" s="1"/>
  <c r="M63" i="6" a="1"/>
  <c r="M63" i="6" s="1"/>
  <c r="N63" i="6" a="1"/>
  <c r="N63" i="6" s="1"/>
  <c r="O63" i="6" a="1"/>
  <c r="O63" i="6" s="1"/>
  <c r="P63" i="6" a="1"/>
  <c r="P63" i="6" s="1"/>
  <c r="B11" i="6" a="1"/>
  <c r="B11" i="6" s="1"/>
  <c r="C11" i="6" a="1"/>
  <c r="C11" i="6" s="1"/>
  <c r="D11" i="6" a="1"/>
  <c r="D11" i="6" s="1"/>
  <c r="E11" i="6" a="1"/>
  <c r="E11" i="6" s="1"/>
  <c r="F11" i="6" a="1"/>
  <c r="F11" i="6" s="1"/>
  <c r="G11" i="6" a="1"/>
  <c r="G11" i="6" s="1"/>
  <c r="H11" i="6" a="1"/>
  <c r="H11" i="6" s="1"/>
  <c r="I11" i="6" a="1"/>
  <c r="I11" i="6" s="1"/>
  <c r="J11" i="6" a="1"/>
  <c r="J11" i="6" s="1"/>
  <c r="K11" i="6" a="1"/>
  <c r="K11" i="6" s="1"/>
  <c r="L11" i="6" a="1"/>
  <c r="L11" i="6" s="1"/>
  <c r="M11" i="6" a="1"/>
  <c r="M11" i="6" s="1"/>
  <c r="N11" i="6" a="1"/>
  <c r="N11" i="6" s="1"/>
  <c r="O11" i="6" a="1"/>
  <c r="O11" i="6" s="1"/>
  <c r="P11" i="6" a="1"/>
  <c r="P11" i="6" s="1"/>
  <c r="B58" i="6" a="1"/>
  <c r="B58" i="6" s="1"/>
  <c r="C58" i="6" a="1"/>
  <c r="C58" i="6" s="1"/>
  <c r="D58" i="6" a="1"/>
  <c r="D58" i="6" s="1"/>
  <c r="E58" i="6" a="1"/>
  <c r="E58" i="6" s="1"/>
  <c r="F58" i="6" a="1"/>
  <c r="F58" i="6" s="1"/>
  <c r="G58" i="6" a="1"/>
  <c r="G58" i="6" s="1"/>
  <c r="H58" i="6" a="1"/>
  <c r="H58" i="6" s="1"/>
  <c r="I58" i="6" a="1"/>
  <c r="I58" i="6" s="1"/>
  <c r="J58" i="6" a="1"/>
  <c r="J58" i="6" s="1"/>
  <c r="K58" i="6" a="1"/>
  <c r="K58" i="6" s="1"/>
  <c r="L58" i="6" a="1"/>
  <c r="L58" i="6" s="1"/>
  <c r="M58" i="6" a="1"/>
  <c r="M58" i="6" s="1"/>
  <c r="N58" i="6" a="1"/>
  <c r="N58" i="6" s="1"/>
  <c r="O58" i="6" a="1"/>
  <c r="O58" i="6" s="1"/>
  <c r="P58" i="6" a="1"/>
  <c r="P58" i="6" s="1"/>
  <c r="K17" i="6" a="1"/>
  <c r="K17" i="6" s="1"/>
  <c r="B32" i="6" a="1"/>
  <c r="B32" i="6" s="1"/>
  <c r="C32" i="6" a="1"/>
  <c r="C32" i="6" s="1"/>
  <c r="D32" i="6" a="1"/>
  <c r="D32" i="6" s="1"/>
  <c r="E32" i="6" a="1"/>
  <c r="E32" i="6" s="1"/>
  <c r="F32" i="6" a="1"/>
  <c r="F32" i="6" s="1"/>
  <c r="G32" i="6" a="1"/>
  <c r="G32" i="6" s="1"/>
  <c r="H32" i="6" a="1"/>
  <c r="H32" i="6" s="1"/>
  <c r="I32" i="6" a="1"/>
  <c r="I32" i="6" s="1"/>
  <c r="J32" i="6" a="1"/>
  <c r="J32" i="6" s="1"/>
  <c r="K32" i="6" a="1"/>
  <c r="K32" i="6" s="1"/>
  <c r="L32" i="6" a="1"/>
  <c r="L32" i="6" s="1"/>
  <c r="M32" i="6" a="1"/>
  <c r="M32" i="6" s="1"/>
  <c r="N32" i="6" a="1"/>
  <c r="N32" i="6" s="1"/>
  <c r="O32" i="6" a="1"/>
  <c r="O32" i="6" s="1"/>
  <c r="P32" i="6" a="1"/>
  <c r="P32" i="6" s="1"/>
  <c r="B14" i="6" a="1"/>
  <c r="B14" i="6" s="1"/>
  <c r="C14" i="6" a="1"/>
  <c r="C14" i="6" s="1"/>
  <c r="D14" i="6" a="1"/>
  <c r="D14" i="6" s="1"/>
  <c r="E14" i="6" a="1"/>
  <c r="E14" i="6" s="1"/>
  <c r="F14" i="6" a="1"/>
  <c r="F14" i="6" s="1"/>
  <c r="G14" i="6" a="1"/>
  <c r="G14" i="6" s="1"/>
  <c r="H14" i="6" a="1"/>
  <c r="H14" i="6" s="1"/>
  <c r="I14" i="6" a="1"/>
  <c r="I14" i="6" s="1"/>
  <c r="J14" i="6" a="1"/>
  <c r="J14" i="6" s="1"/>
  <c r="K14" i="6" a="1"/>
  <c r="K14" i="6" s="1"/>
  <c r="L14" i="6" a="1"/>
  <c r="L14" i="6" s="1"/>
  <c r="M14" i="6" a="1"/>
  <c r="M14" i="6" s="1"/>
  <c r="N14" i="6" a="1"/>
  <c r="N14" i="6" s="1"/>
  <c r="O14" i="6" a="1"/>
  <c r="O14" i="6" s="1"/>
  <c r="P14" i="6" a="1"/>
  <c r="P14" i="6" s="1"/>
  <c r="B9" i="6" a="1"/>
  <c r="B9" i="6" s="1"/>
  <c r="C9" i="6" a="1"/>
  <c r="C9" i="6" s="1"/>
  <c r="D9" i="6" a="1"/>
  <c r="D9" i="6" s="1"/>
  <c r="E9" i="6" a="1"/>
  <c r="E9" i="6" s="1"/>
  <c r="F9" i="6" a="1"/>
  <c r="F9" i="6" s="1"/>
  <c r="G9" i="6" a="1"/>
  <c r="G9" i="6" s="1"/>
  <c r="H9" i="6" a="1"/>
  <c r="H9" i="6" s="1"/>
  <c r="I9" i="6" a="1"/>
  <c r="I9" i="6" s="1"/>
  <c r="J9" i="6" a="1"/>
  <c r="J9" i="6" s="1"/>
  <c r="K9" i="6" a="1"/>
  <c r="K9" i="6" s="1"/>
  <c r="L9" i="6" a="1"/>
  <c r="L9" i="6" s="1"/>
  <c r="M9" i="6" a="1"/>
  <c r="M9" i="6" s="1"/>
  <c r="N9" i="6" a="1"/>
  <c r="N9" i="6" s="1"/>
  <c r="O9" i="6" a="1"/>
  <c r="O9" i="6" s="1"/>
  <c r="P9" i="6" a="1"/>
  <c r="P9" i="6" s="1"/>
  <c r="B28" i="6" a="1"/>
  <c r="B28" i="6" s="1"/>
  <c r="C28" i="6" a="1"/>
  <c r="C28" i="6" s="1"/>
  <c r="D28" i="6" a="1"/>
  <c r="D28" i="6" s="1"/>
  <c r="E28" i="6" a="1"/>
  <c r="E28" i="6" s="1"/>
  <c r="F28" i="6" a="1"/>
  <c r="F28" i="6" s="1"/>
  <c r="G28" i="6" a="1"/>
  <c r="G28" i="6" s="1"/>
  <c r="H28" i="6" a="1"/>
  <c r="H28" i="6" s="1"/>
  <c r="I28" i="6" a="1"/>
  <c r="I28" i="6" s="1"/>
  <c r="J28" i="6" a="1"/>
  <c r="J28" i="6" s="1"/>
  <c r="K28" i="6" a="1"/>
  <c r="K28" i="6" s="1"/>
  <c r="L28" i="6" a="1"/>
  <c r="L28" i="6" s="1"/>
  <c r="M28" i="6" a="1"/>
  <c r="M28" i="6" s="1"/>
  <c r="N28" i="6" a="1"/>
  <c r="N28" i="6" s="1"/>
  <c r="O28" i="6" a="1"/>
  <c r="O28" i="6" s="1"/>
  <c r="P28" i="6" a="1"/>
  <c r="P28" i="6" s="1"/>
  <c r="B13" i="6" a="1"/>
  <c r="B13" i="6" s="1"/>
  <c r="C13" i="6" a="1"/>
  <c r="C13" i="6" s="1"/>
  <c r="D13" i="6" a="1"/>
  <c r="D13" i="6" s="1"/>
  <c r="E13" i="6" a="1"/>
  <c r="E13" i="6" s="1"/>
  <c r="F13" i="6" a="1"/>
  <c r="F13" i="6" s="1"/>
  <c r="G13" i="6" a="1"/>
  <c r="G13" i="6" s="1"/>
  <c r="H13" i="6" a="1"/>
  <c r="H13" i="6" s="1"/>
  <c r="I13" i="6" a="1"/>
  <c r="I13" i="6" s="1"/>
  <c r="J13" i="6" a="1"/>
  <c r="J13" i="6" s="1"/>
  <c r="K13" i="6" a="1"/>
  <c r="K13" i="6" s="1"/>
  <c r="L13" i="6" a="1"/>
  <c r="L13" i="6" s="1"/>
  <c r="M13" i="6" a="1"/>
  <c r="M13" i="6" s="1"/>
  <c r="N13" i="6" a="1"/>
  <c r="N13" i="6" s="1"/>
  <c r="O13" i="6" a="1"/>
  <c r="O13" i="6" s="1"/>
  <c r="P13" i="6" a="1"/>
  <c r="P13" i="6" s="1"/>
  <c r="B27" i="6" a="1"/>
  <c r="B27" i="6" s="1"/>
  <c r="C27" i="6" a="1"/>
  <c r="C27" i="6" s="1"/>
  <c r="D27" i="6" a="1"/>
  <c r="D27" i="6" s="1"/>
  <c r="E27" i="6" a="1"/>
  <c r="E27" i="6" s="1"/>
  <c r="F27" i="6" a="1"/>
  <c r="F27" i="6" s="1"/>
  <c r="G27" i="6" a="1"/>
  <c r="G27" i="6" s="1"/>
  <c r="H27" i="6" a="1"/>
  <c r="H27" i="6" s="1"/>
  <c r="I27" i="6" a="1"/>
  <c r="I27" i="6" s="1"/>
  <c r="J27" i="6" a="1"/>
  <c r="J27" i="6" s="1"/>
  <c r="K27" i="6" a="1"/>
  <c r="K27" i="6" s="1"/>
  <c r="L27" i="6" a="1"/>
  <c r="L27" i="6" s="1"/>
  <c r="M27" i="6" a="1"/>
  <c r="M27" i="6" s="1"/>
  <c r="N27" i="6" a="1"/>
  <c r="N27" i="6" s="1"/>
  <c r="O27" i="6" a="1"/>
  <c r="O27" i="6" s="1"/>
  <c r="P27" i="6" a="1"/>
  <c r="P27" i="6" s="1"/>
  <c r="B35" i="6" a="1"/>
  <c r="B35" i="6" s="1"/>
  <c r="C35" i="6" a="1"/>
  <c r="C35" i="6" s="1"/>
  <c r="D35" i="6" a="1"/>
  <c r="D35" i="6" s="1"/>
  <c r="E35" i="6" a="1"/>
  <c r="E35" i="6" s="1"/>
  <c r="F35" i="6" a="1"/>
  <c r="F35" i="6" s="1"/>
  <c r="G35" i="6" a="1"/>
  <c r="G35" i="6" s="1"/>
  <c r="H35" i="6" a="1"/>
  <c r="H35" i="6" s="1"/>
  <c r="I35" i="6" a="1"/>
  <c r="I35" i="6" s="1"/>
  <c r="J35" i="6" a="1"/>
  <c r="J35" i="6" s="1"/>
  <c r="K35" i="6" a="1"/>
  <c r="K35" i="6" s="1"/>
  <c r="L35" i="6" a="1"/>
  <c r="L35" i="6" s="1"/>
  <c r="M35" i="6" a="1"/>
  <c r="M35" i="6" s="1"/>
  <c r="N35" i="6" a="1"/>
  <c r="N35" i="6" s="1"/>
  <c r="O35" i="6" a="1"/>
  <c r="O35" i="6" s="1"/>
  <c r="P35" i="6" a="1"/>
  <c r="P35" i="6" s="1"/>
  <c r="B19" i="6" a="1"/>
  <c r="B19" i="6" s="1"/>
  <c r="C19" i="6" a="1"/>
  <c r="C19" i="6" s="1"/>
  <c r="D19" i="6" a="1"/>
  <c r="D19" i="6" s="1"/>
  <c r="E19" i="6" a="1"/>
  <c r="E19" i="6" s="1"/>
  <c r="F19" i="6" a="1"/>
  <c r="F19" i="6" s="1"/>
  <c r="G19" i="6" a="1"/>
  <c r="G19" i="6" s="1"/>
  <c r="H19" i="6" a="1"/>
  <c r="H19" i="6" s="1"/>
  <c r="I19" i="6" a="1"/>
  <c r="I19" i="6" s="1"/>
  <c r="J19" i="6" a="1"/>
  <c r="J19" i="6" s="1"/>
  <c r="K19" i="6" a="1"/>
  <c r="K19" i="6" s="1"/>
  <c r="L19" i="6" a="1"/>
  <c r="L19" i="6" s="1"/>
  <c r="M19" i="6" a="1"/>
  <c r="M19" i="6" s="1"/>
  <c r="N19" i="6" a="1"/>
  <c r="N19" i="6" s="1"/>
  <c r="O19" i="6" a="1"/>
  <c r="O19" i="6" s="1"/>
  <c r="P19" i="6" a="1"/>
  <c r="P19" i="6" s="1"/>
  <c r="B64" i="6" a="1"/>
  <c r="B64" i="6" s="1"/>
  <c r="C64" i="6" a="1"/>
  <c r="C64" i="6" s="1"/>
  <c r="D64" i="6" a="1"/>
  <c r="D64" i="6" s="1"/>
  <c r="E64" i="6" a="1"/>
  <c r="E64" i="6" s="1"/>
  <c r="F64" i="6" a="1"/>
  <c r="F64" i="6" s="1"/>
  <c r="G64" i="6" a="1"/>
  <c r="G64" i="6" s="1"/>
  <c r="H64" i="6" a="1"/>
  <c r="H64" i="6" s="1"/>
  <c r="I64" i="6" a="1"/>
  <c r="I64" i="6" s="1"/>
  <c r="J64" i="6" a="1"/>
  <c r="J64" i="6" s="1"/>
  <c r="K64" i="6" a="1"/>
  <c r="K64" i="6" s="1"/>
  <c r="L64" i="6" a="1"/>
  <c r="L64" i="6" s="1"/>
  <c r="M64" i="6" a="1"/>
  <c r="M64" i="6" s="1"/>
  <c r="N64" i="6" a="1"/>
  <c r="N64" i="6" s="1"/>
  <c r="O64" i="6" a="1"/>
  <c r="O64" i="6" s="1"/>
  <c r="P64" i="6" a="1"/>
  <c r="P64" i="6" s="1"/>
  <c r="B57" i="6" a="1"/>
  <c r="B57" i="6" s="1"/>
  <c r="C57" i="6" a="1"/>
  <c r="C57" i="6" s="1"/>
  <c r="D57" i="6" a="1"/>
  <c r="D57" i="6" s="1"/>
  <c r="E57" i="6" a="1"/>
  <c r="E57" i="6" s="1"/>
  <c r="F57" i="6" a="1"/>
  <c r="F57" i="6" s="1"/>
  <c r="G57" i="6" a="1"/>
  <c r="G57" i="6" s="1"/>
  <c r="H57" i="6" a="1"/>
  <c r="H57" i="6" s="1"/>
  <c r="I57" i="6" a="1"/>
  <c r="I57" i="6" s="1"/>
  <c r="J57" i="6" a="1"/>
  <c r="J57" i="6" s="1"/>
  <c r="K57" i="6" a="1"/>
  <c r="K57" i="6" s="1"/>
  <c r="L57" i="6" a="1"/>
  <c r="L57" i="6" s="1"/>
  <c r="M57" i="6" a="1"/>
  <c r="M57" i="6" s="1"/>
  <c r="N57" i="6" a="1"/>
  <c r="N57" i="6" s="1"/>
  <c r="O57" i="6" a="1"/>
  <c r="O57" i="6" s="1"/>
  <c r="P57" i="6" a="1"/>
  <c r="P57" i="6" s="1"/>
  <c r="B47" i="6" a="1"/>
  <c r="B47" i="6" s="1"/>
  <c r="C47" i="6" a="1"/>
  <c r="C47" i="6" s="1"/>
  <c r="D47" i="6" a="1"/>
  <c r="D47" i="6" s="1"/>
  <c r="E47" i="6" a="1"/>
  <c r="E47" i="6" s="1"/>
  <c r="F47" i="6" a="1"/>
  <c r="F47" i="6" s="1"/>
  <c r="G47" i="6" a="1"/>
  <c r="G47" i="6" s="1"/>
  <c r="H47" i="6" a="1"/>
  <c r="H47" i="6" s="1"/>
  <c r="I47" i="6" a="1"/>
  <c r="I47" i="6" s="1"/>
  <c r="J47" i="6" a="1"/>
  <c r="J47" i="6" s="1"/>
  <c r="K47" i="6" a="1"/>
  <c r="K47" i="6" s="1"/>
  <c r="L47" i="6" a="1"/>
  <c r="L47" i="6" s="1"/>
  <c r="M47" i="6" a="1"/>
  <c r="M47" i="6" s="1"/>
  <c r="N47" i="6" a="1"/>
  <c r="N47" i="6" s="1"/>
  <c r="O47" i="6" a="1"/>
  <c r="O47" i="6" s="1"/>
  <c r="P47" i="6" a="1"/>
  <c r="P47" i="6" s="1"/>
  <c r="B34" i="6" a="1"/>
  <c r="B34" i="6" s="1"/>
  <c r="C34" i="6" a="1"/>
  <c r="C34" i="6" s="1"/>
  <c r="D34" i="6" a="1"/>
  <c r="D34" i="6" s="1"/>
  <c r="E34" i="6" a="1"/>
  <c r="E34" i="6" s="1"/>
  <c r="F34" i="6" a="1"/>
  <c r="F34" i="6" s="1"/>
  <c r="G34" i="6" a="1"/>
  <c r="G34" i="6" s="1"/>
  <c r="H34" i="6" a="1"/>
  <c r="H34" i="6" s="1"/>
  <c r="I34" i="6" a="1"/>
  <c r="I34" i="6" s="1"/>
  <c r="J34" i="6" a="1"/>
  <c r="J34" i="6" s="1"/>
  <c r="K34" i="6" a="1"/>
  <c r="K34" i="6" s="1"/>
  <c r="L34" i="6" a="1"/>
  <c r="L34" i="6" s="1"/>
  <c r="M34" i="6" a="1"/>
  <c r="M34" i="6" s="1"/>
  <c r="N34" i="6" a="1"/>
  <c r="N34" i="6" s="1"/>
  <c r="O34" i="6" a="1"/>
  <c r="O34" i="6" s="1"/>
  <c r="P34" i="6" a="1"/>
  <c r="P34" i="6" s="1"/>
  <c r="B65" i="6" a="1"/>
  <c r="B65" i="6" s="1"/>
  <c r="C65" i="6" a="1"/>
  <c r="C65" i="6" s="1"/>
  <c r="D65" i="6" a="1"/>
  <c r="D65" i="6" s="1"/>
  <c r="E65" i="6" a="1"/>
  <c r="E65" i="6" s="1"/>
  <c r="F65" i="6" a="1"/>
  <c r="F65" i="6" s="1"/>
  <c r="G65" i="6" a="1"/>
  <c r="G65" i="6" s="1"/>
  <c r="H65" i="6" a="1"/>
  <c r="H65" i="6" s="1"/>
  <c r="I65" i="6" a="1"/>
  <c r="I65" i="6" s="1"/>
  <c r="J65" i="6" a="1"/>
  <c r="J65" i="6" s="1"/>
  <c r="K65" i="6" a="1"/>
  <c r="K65" i="6" s="1"/>
  <c r="L65" i="6" a="1"/>
  <c r="L65" i="6" s="1"/>
  <c r="M65" i="6" a="1"/>
  <c r="M65" i="6" s="1"/>
  <c r="N65" i="6" a="1"/>
  <c r="N65" i="6" s="1"/>
  <c r="O65" i="6" a="1"/>
  <c r="O65" i="6" s="1"/>
  <c r="P65" i="6" a="1"/>
  <c r="P65" i="6" s="1"/>
  <c r="B40" i="6" a="1"/>
  <c r="B40" i="6" s="1"/>
  <c r="C40" i="6" a="1"/>
  <c r="C40" i="6" s="1"/>
  <c r="D40" i="6" a="1"/>
  <c r="D40" i="6" s="1"/>
  <c r="E40" i="6" a="1"/>
  <c r="E40" i="6" s="1"/>
  <c r="F40" i="6" a="1"/>
  <c r="F40" i="6" s="1"/>
  <c r="G40" i="6" a="1"/>
  <c r="G40" i="6" s="1"/>
  <c r="H40" i="6" a="1"/>
  <c r="H40" i="6" s="1"/>
  <c r="I40" i="6" a="1"/>
  <c r="I40" i="6" s="1"/>
  <c r="J40" i="6" a="1"/>
  <c r="J40" i="6" s="1"/>
  <c r="K40" i="6" a="1"/>
  <c r="K40" i="6" s="1"/>
  <c r="L40" i="6" a="1"/>
  <c r="L40" i="6" s="1"/>
  <c r="M40" i="6" a="1"/>
  <c r="M40" i="6" s="1"/>
  <c r="N40" i="6" a="1"/>
  <c r="N40" i="6" s="1"/>
  <c r="O40" i="6" a="1"/>
  <c r="O40" i="6" s="1"/>
  <c r="P40" i="6" a="1"/>
  <c r="P40" i="6" s="1"/>
  <c r="P56" i="6" a="1"/>
  <c r="P56" i="6" s="1"/>
  <c r="P20" i="6" a="1"/>
  <c r="P20" i="6" s="1"/>
  <c r="P67" i="6" a="1"/>
  <c r="P67" i="6" s="1"/>
  <c r="P23" i="6" a="1"/>
  <c r="P23" i="6" s="1"/>
  <c r="P38" i="6" a="1"/>
  <c r="P38" i="6" s="1"/>
  <c r="P33" i="6" a="1"/>
  <c r="P33" i="6" s="1"/>
  <c r="P62" i="6" a="1"/>
  <c r="P62" i="6" s="1"/>
  <c r="P39" i="6" a="1"/>
  <c r="P39" i="6" s="1"/>
  <c r="P16" i="6" a="1"/>
  <c r="P16" i="6" s="1"/>
  <c r="P42" i="6" a="1"/>
  <c r="P42" i="6" s="1"/>
  <c r="P10" i="6" a="1"/>
  <c r="P10" i="6" s="1"/>
  <c r="P68" i="6" a="1"/>
  <c r="P68" i="6" s="1"/>
  <c r="P2" i="6" a="1"/>
  <c r="P2" i="6" s="1"/>
  <c r="P66" i="6" a="1"/>
  <c r="P66" i="6" s="1"/>
  <c r="P25" i="6" a="1"/>
  <c r="P25" i="6" s="1"/>
  <c r="P45" i="6" a="1"/>
  <c r="P45" i="6" s="1"/>
  <c r="P61" i="6" a="1"/>
  <c r="P61" i="6" s="1"/>
  <c r="P44" i="6" a="1"/>
  <c r="P44" i="6" s="1"/>
  <c r="P26" i="6" a="1"/>
  <c r="P26" i="6" s="1"/>
  <c r="P3" i="6" a="1"/>
  <c r="P3" i="6" s="1"/>
  <c r="P37" i="6" a="1"/>
  <c r="P37" i="6" s="1"/>
  <c r="P46" i="6" a="1"/>
  <c r="P46" i="6" s="1"/>
  <c r="P17" i="6" a="1"/>
  <c r="P17" i="6" s="1"/>
  <c r="P36" i="6" a="1"/>
  <c r="P36" i="6" s="1"/>
  <c r="P29" i="6" a="1"/>
  <c r="P29" i="6" s="1"/>
  <c r="O56" i="6" a="1"/>
  <c r="O56" i="6" s="1"/>
  <c r="O20" i="6" a="1"/>
  <c r="O20" i="6" s="1"/>
  <c r="O67" i="6" a="1"/>
  <c r="O67" i="6" s="1"/>
  <c r="O23" i="6" a="1"/>
  <c r="O23" i="6" s="1"/>
  <c r="O38" i="6" a="1"/>
  <c r="O38" i="6" s="1"/>
  <c r="O33" i="6" a="1"/>
  <c r="O33" i="6" s="1"/>
  <c r="O62" i="6" a="1"/>
  <c r="O62" i="6" s="1"/>
  <c r="O39" i="6" a="1"/>
  <c r="O39" i="6" s="1"/>
  <c r="O16" i="6" a="1"/>
  <c r="O16" i="6" s="1"/>
  <c r="O42" i="6" a="1"/>
  <c r="O42" i="6" s="1"/>
  <c r="O10" i="6" a="1"/>
  <c r="O10" i="6" s="1"/>
  <c r="O68" i="6" a="1"/>
  <c r="O68" i="6" s="1"/>
  <c r="O2" i="6" a="1"/>
  <c r="O2" i="6" s="1"/>
  <c r="O66" i="6" a="1"/>
  <c r="O66" i="6" s="1"/>
  <c r="O25" i="6" a="1"/>
  <c r="O25" i="6" s="1"/>
  <c r="O45" i="6" a="1"/>
  <c r="O45" i="6" s="1"/>
  <c r="O61" i="6" a="1"/>
  <c r="O61" i="6" s="1"/>
  <c r="O44" i="6" a="1"/>
  <c r="O44" i="6" s="1"/>
  <c r="O26" i="6" a="1"/>
  <c r="O26" i="6" s="1"/>
  <c r="O3" i="6" a="1"/>
  <c r="O3" i="6" s="1"/>
  <c r="O37" i="6" a="1"/>
  <c r="O37" i="6" s="1"/>
  <c r="O46" i="6" a="1"/>
  <c r="O46" i="6" s="1"/>
  <c r="O17" i="6" a="1"/>
  <c r="O17" i="6" s="1"/>
  <c r="O36" i="6" a="1"/>
  <c r="O36" i="6" s="1"/>
  <c r="O29" i="6" a="1"/>
  <c r="O29" i="6" s="1"/>
  <c r="N56" i="6" a="1"/>
  <c r="N56" i="6" s="1"/>
  <c r="N20" i="6" a="1"/>
  <c r="N20" i="6" s="1"/>
  <c r="N67" i="6" a="1"/>
  <c r="N67" i="6" s="1"/>
  <c r="N23" i="6" a="1"/>
  <c r="N23" i="6" s="1"/>
  <c r="N38" i="6" a="1"/>
  <c r="N38" i="6" s="1"/>
  <c r="N33" i="6" a="1"/>
  <c r="N33" i="6" s="1"/>
  <c r="N62" i="6" a="1"/>
  <c r="N62" i="6" s="1"/>
  <c r="N39" i="6" a="1"/>
  <c r="N39" i="6" s="1"/>
  <c r="N16" i="6" a="1"/>
  <c r="N16" i="6" s="1"/>
  <c r="N42" i="6" a="1"/>
  <c r="N42" i="6" s="1"/>
  <c r="N10" i="6" a="1"/>
  <c r="N10" i="6" s="1"/>
  <c r="N68" i="6" a="1"/>
  <c r="N68" i="6" s="1"/>
  <c r="N2" i="6" a="1"/>
  <c r="N2" i="6" s="1"/>
  <c r="N66" i="6" a="1"/>
  <c r="N66" i="6" s="1"/>
  <c r="N25" i="6" a="1"/>
  <c r="N25" i="6" s="1"/>
  <c r="N45" i="6" a="1"/>
  <c r="N45" i="6" s="1"/>
  <c r="N61" i="6" a="1"/>
  <c r="N61" i="6" s="1"/>
  <c r="N44" i="6" a="1"/>
  <c r="N44" i="6" s="1"/>
  <c r="N26" i="6" a="1"/>
  <c r="N26" i="6" s="1"/>
  <c r="N3" i="6" a="1"/>
  <c r="N3" i="6" s="1"/>
  <c r="N37" i="6" a="1"/>
  <c r="N37" i="6" s="1"/>
  <c r="N46" i="6" a="1"/>
  <c r="N46" i="6" s="1"/>
  <c r="N17" i="6" a="1"/>
  <c r="N17" i="6" s="1"/>
  <c r="N36" i="6" a="1"/>
  <c r="N36" i="6" s="1"/>
  <c r="N29" i="6" a="1"/>
  <c r="N29" i="6" s="1"/>
  <c r="M56" i="6" a="1"/>
  <c r="M56" i="6" s="1"/>
  <c r="M20" i="6" a="1"/>
  <c r="M20" i="6" s="1"/>
  <c r="M67" i="6" a="1"/>
  <c r="M67" i="6" s="1"/>
  <c r="M23" i="6" a="1"/>
  <c r="M23" i="6" s="1"/>
  <c r="M38" i="6" a="1"/>
  <c r="M38" i="6" s="1"/>
  <c r="M33" i="6" a="1"/>
  <c r="M33" i="6" s="1"/>
  <c r="M62" i="6" a="1"/>
  <c r="M62" i="6" s="1"/>
  <c r="M39" i="6" a="1"/>
  <c r="M39" i="6" s="1"/>
  <c r="M16" i="6" a="1"/>
  <c r="M16" i="6" s="1"/>
  <c r="M42" i="6" a="1"/>
  <c r="M42" i="6" s="1"/>
  <c r="M10" i="6" a="1"/>
  <c r="M10" i="6" s="1"/>
  <c r="M68" i="6" a="1"/>
  <c r="M68" i="6" s="1"/>
  <c r="M2" i="6" a="1"/>
  <c r="M2" i="6" s="1"/>
  <c r="M66" i="6" a="1"/>
  <c r="M66" i="6" s="1"/>
  <c r="M25" i="6" a="1"/>
  <c r="M25" i="6" s="1"/>
  <c r="M45" i="6" a="1"/>
  <c r="M45" i="6" s="1"/>
  <c r="M61" i="6" a="1"/>
  <c r="M61" i="6" s="1"/>
  <c r="M44" i="6" a="1"/>
  <c r="M44" i="6" s="1"/>
  <c r="M26" i="6" a="1"/>
  <c r="M26" i="6" s="1"/>
  <c r="M3" i="6" a="1"/>
  <c r="M3" i="6" s="1"/>
  <c r="M37" i="6" a="1"/>
  <c r="M37" i="6" s="1"/>
  <c r="M46" i="6" a="1"/>
  <c r="M46" i="6" s="1"/>
  <c r="M17" i="6" a="1"/>
  <c r="M17" i="6" s="1"/>
  <c r="M36" i="6" a="1"/>
  <c r="M36" i="6" s="1"/>
  <c r="M29" i="6" a="1"/>
  <c r="M29" i="6" s="1"/>
  <c r="L56" i="6" a="1"/>
  <c r="L56" i="6" s="1"/>
  <c r="L20" i="6" a="1"/>
  <c r="L20" i="6" s="1"/>
  <c r="L67" i="6" a="1"/>
  <c r="L67" i="6" s="1"/>
  <c r="L23" i="6" a="1"/>
  <c r="L23" i="6" s="1"/>
  <c r="L38" i="6" a="1"/>
  <c r="L38" i="6" s="1"/>
  <c r="L33" i="6" a="1"/>
  <c r="L33" i="6" s="1"/>
  <c r="L62" i="6" a="1"/>
  <c r="L62" i="6" s="1"/>
  <c r="L39" i="6" a="1"/>
  <c r="L39" i="6" s="1"/>
  <c r="L16" i="6" a="1"/>
  <c r="L16" i="6" s="1"/>
  <c r="L42" i="6" a="1"/>
  <c r="L42" i="6" s="1"/>
  <c r="L10" i="6" a="1"/>
  <c r="L10" i="6" s="1"/>
  <c r="L68" i="6" a="1"/>
  <c r="L68" i="6" s="1"/>
  <c r="L2" i="6" a="1"/>
  <c r="L2" i="6" s="1"/>
  <c r="L66" i="6" a="1"/>
  <c r="L66" i="6" s="1"/>
  <c r="L25" i="6" a="1"/>
  <c r="L25" i="6" s="1"/>
  <c r="L45" i="6" a="1"/>
  <c r="L45" i="6" s="1"/>
  <c r="L61" i="6" a="1"/>
  <c r="L61" i="6" s="1"/>
  <c r="L44" i="6" a="1"/>
  <c r="L44" i="6" s="1"/>
  <c r="L26" i="6" a="1"/>
  <c r="L26" i="6" s="1"/>
  <c r="L3" i="6" a="1"/>
  <c r="L3" i="6" s="1"/>
  <c r="L37" i="6" a="1"/>
  <c r="L37" i="6" s="1"/>
  <c r="L46" i="6" a="1"/>
  <c r="L46" i="6" s="1"/>
  <c r="L17" i="6" a="1"/>
  <c r="L17" i="6" s="1"/>
  <c r="L36" i="6" a="1"/>
  <c r="L36" i="6" s="1"/>
  <c r="L29" i="6" a="1"/>
  <c r="L29" i="6" s="1"/>
  <c r="K56" i="6" a="1"/>
  <c r="K56" i="6" s="1"/>
  <c r="K20" i="6" a="1"/>
  <c r="K20" i="6" s="1"/>
  <c r="K67" i="6" a="1"/>
  <c r="K67" i="6" s="1"/>
  <c r="K23" i="6" a="1"/>
  <c r="K23" i="6" s="1"/>
  <c r="K38" i="6" a="1"/>
  <c r="K38" i="6" s="1"/>
  <c r="K33" i="6" a="1"/>
  <c r="K33" i="6" s="1"/>
  <c r="K62" i="6" a="1"/>
  <c r="K62" i="6" s="1"/>
  <c r="K39" i="6" a="1"/>
  <c r="K39" i="6" s="1"/>
  <c r="K16" i="6" a="1"/>
  <c r="K16" i="6" s="1"/>
  <c r="K42" i="6" a="1"/>
  <c r="K42" i="6" s="1"/>
  <c r="K10" i="6" a="1"/>
  <c r="K10" i="6" s="1"/>
  <c r="K68" i="6" a="1"/>
  <c r="K68" i="6" s="1"/>
  <c r="K2" i="6" a="1"/>
  <c r="K2" i="6" s="1"/>
  <c r="K66" i="6" a="1"/>
  <c r="K66" i="6" s="1"/>
  <c r="K25" i="6" a="1"/>
  <c r="K25" i="6" s="1"/>
  <c r="K45" i="6" a="1"/>
  <c r="K45" i="6" s="1"/>
  <c r="K61" i="6" a="1"/>
  <c r="K61" i="6" s="1"/>
  <c r="K44" i="6" a="1"/>
  <c r="K44" i="6" s="1"/>
  <c r="K26" i="6" a="1"/>
  <c r="K26" i="6" s="1"/>
  <c r="K3" i="6" a="1"/>
  <c r="K3" i="6" s="1"/>
  <c r="K37" i="6" a="1"/>
  <c r="K37" i="6" s="1"/>
  <c r="K46" i="6" a="1"/>
  <c r="K46" i="6" s="1"/>
  <c r="K36" i="6" a="1"/>
  <c r="K36" i="6" s="1"/>
  <c r="K29" i="6" a="1"/>
  <c r="K29" i="6" s="1"/>
  <c r="J56" i="6" a="1"/>
  <c r="J56" i="6" s="1"/>
  <c r="J20" i="6" a="1"/>
  <c r="J20" i="6" s="1"/>
  <c r="J67" i="6" a="1"/>
  <c r="J67" i="6" s="1"/>
  <c r="J23" i="6" a="1"/>
  <c r="J23" i="6" s="1"/>
  <c r="J38" i="6" a="1"/>
  <c r="J38" i="6" s="1"/>
  <c r="J33" i="6" a="1"/>
  <c r="J33" i="6" s="1"/>
  <c r="J62" i="6" a="1"/>
  <c r="J62" i="6" s="1"/>
  <c r="J39" i="6" a="1"/>
  <c r="J39" i="6" s="1"/>
  <c r="J16" i="6" a="1"/>
  <c r="J16" i="6" s="1"/>
  <c r="J42" i="6" a="1"/>
  <c r="J42" i="6" s="1"/>
  <c r="J10" i="6" a="1"/>
  <c r="J10" i="6" s="1"/>
  <c r="J68" i="6" a="1"/>
  <c r="J68" i="6" s="1"/>
  <c r="J2" i="6" a="1"/>
  <c r="J2" i="6" s="1"/>
  <c r="J66" i="6" a="1"/>
  <c r="J66" i="6" s="1"/>
  <c r="J25" i="6" a="1"/>
  <c r="J25" i="6" s="1"/>
  <c r="J45" i="6" a="1"/>
  <c r="J45" i="6" s="1"/>
  <c r="J61" i="6" a="1"/>
  <c r="J61" i="6" s="1"/>
  <c r="J44" i="6" a="1"/>
  <c r="J44" i="6" s="1"/>
  <c r="J26" i="6" a="1"/>
  <c r="J26" i="6" s="1"/>
  <c r="J3" i="6" a="1"/>
  <c r="J3" i="6" s="1"/>
  <c r="J37" i="6" a="1"/>
  <c r="J37" i="6" s="1"/>
  <c r="J46" i="6" a="1"/>
  <c r="J46" i="6" s="1"/>
  <c r="J17" i="6" a="1"/>
  <c r="J17" i="6" s="1"/>
  <c r="J36" i="6" a="1"/>
  <c r="J36" i="6" s="1"/>
  <c r="J29" i="6" a="1"/>
  <c r="J29" i="6" s="1"/>
  <c r="I56" i="6" a="1"/>
  <c r="I56" i="6" s="1"/>
  <c r="I20" i="6" a="1"/>
  <c r="I20" i="6" s="1"/>
  <c r="I67" i="6" a="1"/>
  <c r="I67" i="6" s="1"/>
  <c r="I23" i="6" a="1"/>
  <c r="I23" i="6" s="1"/>
  <c r="I38" i="6" a="1"/>
  <c r="I38" i="6" s="1"/>
  <c r="I33" i="6" a="1"/>
  <c r="I33" i="6" s="1"/>
  <c r="I62" i="6" a="1"/>
  <c r="I62" i="6" s="1"/>
  <c r="I39" i="6" a="1"/>
  <c r="I39" i="6" s="1"/>
  <c r="I16" i="6" a="1"/>
  <c r="I16" i="6" s="1"/>
  <c r="I42" i="6" a="1"/>
  <c r="I42" i="6" s="1"/>
  <c r="I10" i="6" a="1"/>
  <c r="I10" i="6" s="1"/>
  <c r="I68" i="6" a="1"/>
  <c r="I68" i="6" s="1"/>
  <c r="I2" i="6" a="1"/>
  <c r="I2" i="6" s="1"/>
  <c r="I66" i="6" a="1"/>
  <c r="I66" i="6" s="1"/>
  <c r="I25" i="6" a="1"/>
  <c r="I25" i="6" s="1"/>
  <c r="I45" i="6" a="1"/>
  <c r="I45" i="6" s="1"/>
  <c r="I61" i="6" a="1"/>
  <c r="I61" i="6" s="1"/>
  <c r="I44" i="6" a="1"/>
  <c r="I44" i="6" s="1"/>
  <c r="I26" i="6" a="1"/>
  <c r="I26" i="6" s="1"/>
  <c r="I3" i="6" a="1"/>
  <c r="I3" i="6" s="1"/>
  <c r="I37" i="6" a="1"/>
  <c r="I37" i="6" s="1"/>
  <c r="I46" i="6" a="1"/>
  <c r="I46" i="6" s="1"/>
  <c r="I17" i="6" a="1"/>
  <c r="I17" i="6" s="1"/>
  <c r="I36" i="6" a="1"/>
  <c r="I36" i="6" s="1"/>
  <c r="I29" i="6" a="1"/>
  <c r="I29" i="6" s="1"/>
  <c r="H56" i="6" a="1"/>
  <c r="H56" i="6" s="1"/>
  <c r="H20" i="6" a="1"/>
  <c r="H20" i="6" s="1"/>
  <c r="H67" i="6" a="1"/>
  <c r="H67" i="6" s="1"/>
  <c r="H23" i="6" a="1"/>
  <c r="H23" i="6" s="1"/>
  <c r="H38" i="6" a="1"/>
  <c r="H38" i="6" s="1"/>
  <c r="H33" i="6" a="1"/>
  <c r="H33" i="6" s="1"/>
  <c r="H62" i="6" a="1"/>
  <c r="H62" i="6" s="1"/>
  <c r="H39" i="6" a="1"/>
  <c r="H39" i="6" s="1"/>
  <c r="H16" i="6" a="1"/>
  <c r="H16" i="6" s="1"/>
  <c r="H42" i="6" a="1"/>
  <c r="H42" i="6" s="1"/>
  <c r="H10" i="6" a="1"/>
  <c r="H10" i="6" s="1"/>
  <c r="H68" i="6" a="1"/>
  <c r="H68" i="6" s="1"/>
  <c r="H2" i="6" a="1"/>
  <c r="H2" i="6" s="1"/>
  <c r="H66" i="6" a="1"/>
  <c r="H66" i="6" s="1"/>
  <c r="H25" i="6" a="1"/>
  <c r="H25" i="6" s="1"/>
  <c r="H45" i="6" a="1"/>
  <c r="H45" i="6" s="1"/>
  <c r="H61" i="6" a="1"/>
  <c r="H61" i="6" s="1"/>
  <c r="H44" i="6" a="1"/>
  <c r="H44" i="6" s="1"/>
  <c r="H26" i="6" a="1"/>
  <c r="H26" i="6" s="1"/>
  <c r="H3" i="6" a="1"/>
  <c r="H3" i="6" s="1"/>
  <c r="H37" i="6" a="1"/>
  <c r="H37" i="6" s="1"/>
  <c r="H46" i="6" a="1"/>
  <c r="H46" i="6" s="1"/>
  <c r="H17" i="6" a="1"/>
  <c r="H17" i="6" s="1"/>
  <c r="H36" i="6" a="1"/>
  <c r="H36" i="6" s="1"/>
  <c r="H29" i="6" a="1"/>
  <c r="H29" i="6" s="1"/>
  <c r="G56" i="6" a="1"/>
  <c r="G56" i="6" s="1"/>
  <c r="G20" i="6" a="1"/>
  <c r="G20" i="6" s="1"/>
  <c r="G67" i="6" a="1"/>
  <c r="G67" i="6" s="1"/>
  <c r="G23" i="6" a="1"/>
  <c r="G23" i="6" s="1"/>
  <c r="G38" i="6" a="1"/>
  <c r="G38" i="6" s="1"/>
  <c r="G33" i="6" a="1"/>
  <c r="G33" i="6" s="1"/>
  <c r="G62" i="6" a="1"/>
  <c r="G62" i="6" s="1"/>
  <c r="G39" i="6" a="1"/>
  <c r="G39" i="6" s="1"/>
  <c r="G16" i="6" a="1"/>
  <c r="G16" i="6" s="1"/>
  <c r="G42" i="6" a="1"/>
  <c r="G42" i="6" s="1"/>
  <c r="G10" i="6" a="1"/>
  <c r="G10" i="6" s="1"/>
  <c r="G68" i="6" a="1"/>
  <c r="G68" i="6" s="1"/>
  <c r="G2" i="6" a="1"/>
  <c r="G2" i="6" s="1"/>
  <c r="G66" i="6" a="1"/>
  <c r="G66" i="6" s="1"/>
  <c r="G25" i="6" a="1"/>
  <c r="G25" i="6" s="1"/>
  <c r="G45" i="6" a="1"/>
  <c r="G45" i="6" s="1"/>
  <c r="G61" i="6" a="1"/>
  <c r="G61" i="6" s="1"/>
  <c r="G44" i="6" a="1"/>
  <c r="G44" i="6" s="1"/>
  <c r="G26" i="6" a="1"/>
  <c r="G26" i="6" s="1"/>
  <c r="G3" i="6" a="1"/>
  <c r="G3" i="6" s="1"/>
  <c r="G37" i="6" a="1"/>
  <c r="G37" i="6" s="1"/>
  <c r="G46" i="6" a="1"/>
  <c r="G46" i="6" s="1"/>
  <c r="G17" i="6" a="1"/>
  <c r="G17" i="6" s="1"/>
  <c r="G36" i="6" a="1"/>
  <c r="G36" i="6" s="1"/>
  <c r="G29" i="6" a="1"/>
  <c r="G29" i="6" s="1"/>
  <c r="F56" i="6" a="1"/>
  <c r="F56" i="6" s="1"/>
  <c r="F20" i="6" a="1"/>
  <c r="F20" i="6" s="1"/>
  <c r="F67" i="6" a="1"/>
  <c r="F67" i="6" s="1"/>
  <c r="F23" i="6" a="1"/>
  <c r="F23" i="6" s="1"/>
  <c r="F38" i="6" a="1"/>
  <c r="F38" i="6" s="1"/>
  <c r="F33" i="6" a="1"/>
  <c r="F33" i="6" s="1"/>
  <c r="F62" i="6" a="1"/>
  <c r="F62" i="6" s="1"/>
  <c r="F39" i="6" a="1"/>
  <c r="F39" i="6" s="1"/>
  <c r="F16" i="6" a="1"/>
  <c r="F16" i="6" s="1"/>
  <c r="F42" i="6" a="1"/>
  <c r="F42" i="6" s="1"/>
  <c r="F10" i="6" a="1"/>
  <c r="F10" i="6" s="1"/>
  <c r="F68" i="6" a="1"/>
  <c r="F68" i="6" s="1"/>
  <c r="F2" i="6" a="1"/>
  <c r="F2" i="6" s="1"/>
  <c r="F66" i="6" a="1"/>
  <c r="F66" i="6" s="1"/>
  <c r="F25" i="6" a="1"/>
  <c r="F25" i="6" s="1"/>
  <c r="F45" i="6" a="1"/>
  <c r="F45" i="6" s="1"/>
  <c r="F61" i="6" a="1"/>
  <c r="F61" i="6" s="1"/>
  <c r="F44" i="6" a="1"/>
  <c r="F44" i="6" s="1"/>
  <c r="F26" i="6" a="1"/>
  <c r="F26" i="6" s="1"/>
  <c r="F3" i="6" a="1"/>
  <c r="F3" i="6" s="1"/>
  <c r="F37" i="6" a="1"/>
  <c r="F37" i="6" s="1"/>
  <c r="F46" i="6" a="1"/>
  <c r="F46" i="6" s="1"/>
  <c r="F17" i="6" a="1"/>
  <c r="F17" i="6" s="1"/>
  <c r="F36" i="6" a="1"/>
  <c r="F36" i="6" s="1"/>
  <c r="F29" i="6" a="1"/>
  <c r="F29" i="6" s="1"/>
  <c r="E56" i="6" a="1"/>
  <c r="E56" i="6" s="1"/>
  <c r="E20" i="6" a="1"/>
  <c r="E20" i="6" s="1"/>
  <c r="E67" i="6" a="1"/>
  <c r="E67" i="6" s="1"/>
  <c r="E23" i="6" a="1"/>
  <c r="E23" i="6" s="1"/>
  <c r="E38" i="6" a="1"/>
  <c r="E38" i="6" s="1"/>
  <c r="E33" i="6" a="1"/>
  <c r="E33" i="6" s="1"/>
  <c r="E62" i="6" a="1"/>
  <c r="E62" i="6" s="1"/>
  <c r="E39" i="6" a="1"/>
  <c r="E39" i="6" s="1"/>
  <c r="E16" i="6" a="1"/>
  <c r="E16" i="6" s="1"/>
  <c r="E42" i="6" a="1"/>
  <c r="E42" i="6" s="1"/>
  <c r="E10" i="6" a="1"/>
  <c r="E10" i="6" s="1"/>
  <c r="E68" i="6" a="1"/>
  <c r="E68" i="6" s="1"/>
  <c r="E2" i="6" a="1"/>
  <c r="E2" i="6" s="1"/>
  <c r="E66" i="6" a="1"/>
  <c r="E66" i="6" s="1"/>
  <c r="E25" i="6" a="1"/>
  <c r="E25" i="6" s="1"/>
  <c r="E45" i="6" a="1"/>
  <c r="E45" i="6" s="1"/>
  <c r="E61" i="6" a="1"/>
  <c r="E61" i="6" s="1"/>
  <c r="E44" i="6" a="1"/>
  <c r="E44" i="6" s="1"/>
  <c r="E26" i="6" a="1"/>
  <c r="E26" i="6" s="1"/>
  <c r="E3" i="6" a="1"/>
  <c r="E3" i="6" s="1"/>
  <c r="E37" i="6" a="1"/>
  <c r="E37" i="6" s="1"/>
  <c r="E46" i="6" a="1"/>
  <c r="E46" i="6" s="1"/>
  <c r="E17" i="6" a="1"/>
  <c r="E17" i="6" s="1"/>
  <c r="E36" i="6" a="1"/>
  <c r="E36" i="6" s="1"/>
  <c r="E29" i="6" a="1"/>
  <c r="E29" i="6" s="1"/>
  <c r="D56" i="6" a="1"/>
  <c r="D56" i="6" s="1"/>
  <c r="D20" i="6" a="1"/>
  <c r="D20" i="6" s="1"/>
  <c r="D67" i="6" a="1"/>
  <c r="D67" i="6" s="1"/>
  <c r="D23" i="6" a="1"/>
  <c r="D23" i="6" s="1"/>
  <c r="D38" i="6" a="1"/>
  <c r="D38" i="6" s="1"/>
  <c r="D33" i="6" a="1"/>
  <c r="D33" i="6" s="1"/>
  <c r="D62" i="6" a="1"/>
  <c r="D62" i="6" s="1"/>
  <c r="D39" i="6" a="1"/>
  <c r="D39" i="6" s="1"/>
  <c r="D16" i="6" a="1"/>
  <c r="D16" i="6" s="1"/>
  <c r="D42" i="6" a="1"/>
  <c r="D42" i="6" s="1"/>
  <c r="D10" i="6" a="1"/>
  <c r="D10" i="6" s="1"/>
  <c r="D68" i="6" a="1"/>
  <c r="D68" i="6" s="1"/>
  <c r="D2" i="6" a="1"/>
  <c r="D2" i="6" s="1"/>
  <c r="D66" i="6" a="1"/>
  <c r="D66" i="6" s="1"/>
  <c r="D25" i="6" a="1"/>
  <c r="D25" i="6" s="1"/>
  <c r="D45" i="6" a="1"/>
  <c r="D45" i="6" s="1"/>
  <c r="D61" i="6" a="1"/>
  <c r="D61" i="6" s="1"/>
  <c r="D44" i="6" a="1"/>
  <c r="D44" i="6" s="1"/>
  <c r="D26" i="6" a="1"/>
  <c r="D26" i="6" s="1"/>
  <c r="D3" i="6" a="1"/>
  <c r="D3" i="6" s="1"/>
  <c r="D37" i="6" a="1"/>
  <c r="D37" i="6" s="1"/>
  <c r="D46" i="6" a="1"/>
  <c r="D46" i="6" s="1"/>
  <c r="D17" i="6" a="1"/>
  <c r="D17" i="6" s="1"/>
  <c r="D36" i="6" a="1"/>
  <c r="D36" i="6" s="1"/>
  <c r="D29" i="6" a="1"/>
  <c r="D29" i="6" s="1"/>
  <c r="C56" i="6" a="1"/>
  <c r="C56" i="6" s="1"/>
  <c r="C20" i="6" a="1"/>
  <c r="C20" i="6" s="1"/>
  <c r="C67" i="6" a="1"/>
  <c r="C67" i="6" s="1"/>
  <c r="C23" i="6" a="1"/>
  <c r="C23" i="6" s="1"/>
  <c r="C38" i="6" a="1"/>
  <c r="C38" i="6" s="1"/>
  <c r="C33" i="6" a="1"/>
  <c r="C33" i="6" s="1"/>
  <c r="C62" i="6" a="1"/>
  <c r="C62" i="6" s="1"/>
  <c r="C39" i="6" a="1"/>
  <c r="C39" i="6" s="1"/>
  <c r="C16" i="6" a="1"/>
  <c r="C16" i="6" s="1"/>
  <c r="C42" i="6" a="1"/>
  <c r="C42" i="6" s="1"/>
  <c r="C10" i="6" a="1"/>
  <c r="C10" i="6" s="1"/>
  <c r="C68" i="6" a="1"/>
  <c r="C68" i="6" s="1"/>
  <c r="C2" i="6" a="1"/>
  <c r="C2" i="6" s="1"/>
  <c r="C66" i="6" a="1"/>
  <c r="C66" i="6" s="1"/>
  <c r="C25" i="6" a="1"/>
  <c r="C25" i="6" s="1"/>
  <c r="C45" i="6" a="1"/>
  <c r="C45" i="6" s="1"/>
  <c r="C61" i="6" a="1"/>
  <c r="C61" i="6" s="1"/>
  <c r="C44" i="6" a="1"/>
  <c r="C44" i="6" s="1"/>
  <c r="C26" i="6" a="1"/>
  <c r="C26" i="6" s="1"/>
  <c r="C3" i="6" a="1"/>
  <c r="C3" i="6" s="1"/>
  <c r="C37" i="6" a="1"/>
  <c r="C37" i="6" s="1"/>
  <c r="C46" i="6" a="1"/>
  <c r="C46" i="6" s="1"/>
  <c r="C17" i="6" a="1"/>
  <c r="C17" i="6" s="1"/>
  <c r="C36" i="6" a="1"/>
  <c r="C36" i="6" s="1"/>
  <c r="C29" i="6" a="1"/>
  <c r="C29" i="6" s="1"/>
  <c r="B56" i="6" a="1"/>
  <c r="B56" i="6" s="1"/>
  <c r="B20" i="6" a="1"/>
  <c r="B20" i="6" s="1"/>
  <c r="B67" i="6" a="1"/>
  <c r="B67" i="6" s="1"/>
  <c r="B23" i="6" a="1"/>
  <c r="B23" i="6" s="1"/>
  <c r="B38" i="6" a="1"/>
  <c r="B38" i="6" s="1"/>
  <c r="B33" i="6" a="1"/>
  <c r="B33" i="6" s="1"/>
  <c r="B62" i="6" a="1"/>
  <c r="B62" i="6" s="1"/>
  <c r="B39" i="6" a="1"/>
  <c r="B39" i="6" s="1"/>
  <c r="B16" i="6" a="1"/>
  <c r="B16" i="6" s="1"/>
  <c r="B42" i="6" a="1"/>
  <c r="B42" i="6" s="1"/>
  <c r="B10" i="6" a="1"/>
  <c r="B10" i="6" s="1"/>
  <c r="B68" i="6" a="1"/>
  <c r="B68" i="6" s="1"/>
  <c r="B2" i="6" a="1"/>
  <c r="B2" i="6" s="1"/>
  <c r="B66" i="6" a="1"/>
  <c r="B66" i="6" s="1"/>
  <c r="B25" i="6" a="1"/>
  <c r="B25" i="6" s="1"/>
  <c r="B45" i="6" a="1"/>
  <c r="B45" i="6" s="1"/>
  <c r="B61" i="6" a="1"/>
  <c r="B61" i="6" s="1"/>
  <c r="B44" i="6" a="1"/>
  <c r="B44" i="6" s="1"/>
  <c r="B26" i="6" a="1"/>
  <c r="B26" i="6" s="1"/>
  <c r="B3" i="6" a="1"/>
  <c r="B3" i="6" s="1"/>
  <c r="B37" i="6" a="1"/>
  <c r="B37" i="6" s="1"/>
  <c r="B46" i="6" a="1"/>
  <c r="B46" i="6" s="1"/>
  <c r="B17" i="6" a="1"/>
  <c r="B17" i="6" s="1"/>
  <c r="B36" i="6" a="1"/>
  <c r="B36" i="6" s="1"/>
  <c r="B29" i="6" a="1"/>
  <c r="B29" i="6" s="1"/>
  <c r="B5" i="5" l="1"/>
  <c r="B11" i="5"/>
  <c r="A14" i="5" s="1"/>
  <c r="B15" i="5" s="1"/>
  <c r="B30" i="5"/>
  <c r="D2" i="5"/>
  <c r="A17" i="5"/>
  <c r="D12" i="5"/>
  <c r="A19" i="5"/>
  <c r="B18" i="5"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2">
    <bk>
      <extLst>
        <ext uri="{3e2802c4-a4d2-4d8b-9148-e3be6c30e623}">
          <xlrd:rvb i="2"/>
        </ext>
      </extLst>
    </bk>
    <bk>
      <extLst>
        <ext uri="{3e2802c4-a4d2-4d8b-9148-e3be6c30e623}">
          <xlrd:rvb i="3"/>
        </ext>
      </extLst>
    </bk>
    <bk>
      <extLst>
        <ext uri="{3e2802c4-a4d2-4d8b-9148-e3be6c30e623}">
          <xlrd:rvb i="6"/>
        </ext>
      </extLst>
    </bk>
    <bk>
      <extLst>
        <ext uri="{3e2802c4-a4d2-4d8b-9148-e3be6c30e623}">
          <xlrd:rvb i="8"/>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49"/>
        </ext>
      </extLst>
    </bk>
    <bk>
      <extLst>
        <ext uri="{3e2802c4-a4d2-4d8b-9148-e3be6c30e623}">
          <xlrd:rvb i="152"/>
        </ext>
      </extLst>
    </bk>
    <bk>
      <extLst>
        <ext uri="{3e2802c4-a4d2-4d8b-9148-e3be6c30e623}">
          <xlrd:rvb i="155"/>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futureMetadata>
  <cellMetadata count="1">
    <bk>
      <rc t="1" v="0"/>
    </bk>
  </cellMetadata>
  <valueMetadata count="8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valueMetadata>
</metadata>
</file>

<file path=xl/sharedStrings.xml><?xml version="1.0" encoding="utf-8"?>
<sst xmlns="http://schemas.openxmlformats.org/spreadsheetml/2006/main" count="381" uniqueCount="155">
  <si>
    <t>Operating Margin</t>
  </si>
  <si>
    <t>Total Debt</t>
  </si>
  <si>
    <t>Industry</t>
  </si>
  <si>
    <t>Market cap</t>
  </si>
  <si>
    <t>P/E</t>
  </si>
  <si>
    <t>Price</t>
  </si>
  <si>
    <t>Volume</t>
  </si>
  <si>
    <t>&lt; 10</t>
  </si>
  <si>
    <t>Exchange</t>
  </si>
  <si>
    <t>Year incorporated</t>
  </si>
  <si>
    <t>Headquarters</t>
  </si>
  <si>
    <t>GRRR</t>
  </si>
  <si>
    <t>Float</t>
  </si>
  <si>
    <t>&lt; 10M</t>
  </si>
  <si>
    <t>EPS</t>
  </si>
  <si>
    <t>Yes</t>
  </si>
  <si>
    <t>No</t>
  </si>
  <si>
    <t>GMM</t>
  </si>
  <si>
    <t>PRCH</t>
  </si>
  <si>
    <t>MGIC</t>
  </si>
  <si>
    <t>INTJ</t>
  </si>
  <si>
    <t>XNET</t>
  </si>
  <si>
    <t>GVH</t>
  </si>
  <si>
    <t>LPTH</t>
  </si>
  <si>
    <t>VRME</t>
  </si>
  <si>
    <t>FUFU</t>
  </si>
  <si>
    <t>TSSI</t>
  </si>
  <si>
    <t>NISN</t>
  </si>
  <si>
    <t>NRDS</t>
  </si>
  <si>
    <t>VSAT</t>
  </si>
  <si>
    <t>SMR</t>
  </si>
  <si>
    <t>SG</t>
  </si>
  <si>
    <t>LUMN</t>
  </si>
  <si>
    <t>CELH</t>
  </si>
  <si>
    <t>EXFY</t>
  </si>
  <si>
    <t>FUBO</t>
  </si>
  <si>
    <t>SLI</t>
  </si>
  <si>
    <t>Change (%)</t>
  </si>
  <si>
    <t>SEDG</t>
  </si>
  <si>
    <t>IPO Date</t>
  </si>
  <si>
    <t>EPS Growth (5Y)</t>
  </si>
  <si>
    <t>EPS Growth (3Y)</t>
  </si>
  <si>
    <t>EPS Growth</t>
  </si>
  <si>
    <t>Revenue Growth (5Y)</t>
  </si>
  <si>
    <t>Revenue Growth (3Y)</t>
  </si>
  <si>
    <t>Revenue Growth (YoY)</t>
  </si>
  <si>
    <t>Revenue Growth (Q)</t>
  </si>
  <si>
    <t>Debt / Equity</t>
  </si>
  <si>
    <t>PEG Ratio</t>
  </si>
  <si>
    <t>PE Ratio</t>
  </si>
  <si>
    <t>PS Ratio</t>
  </si>
  <si>
    <t>Options</t>
  </si>
  <si>
    <t>Analyst Count</t>
  </si>
  <si>
    <t>Short % Shares</t>
  </si>
  <si>
    <t>Shares Institut.</t>
  </si>
  <si>
    <t>Shares Insiders</t>
  </si>
  <si>
    <t>200-Day Moving Average</t>
  </si>
  <si>
    <t>Stock Price</t>
  </si>
  <si>
    <t>Symbol</t>
  </si>
  <si>
    <t>Free Cash Flow</t>
  </si>
  <si>
    <t>Profit Margin</t>
  </si>
  <si>
    <t>Market Cap &lt; $100M</t>
  </si>
  <si>
    <t>Ticker symbol</t>
  </si>
  <si>
    <t xml:space="preserve">&lt; 6% </t>
  </si>
  <si>
    <t>Stocks</t>
  </si>
  <si>
    <t>52 week high</t>
  </si>
  <si>
    <t>52 week low</t>
  </si>
  <si>
    <t>Volume average</t>
  </si>
  <si>
    <t>Shares outstanding</t>
  </si>
  <si>
    <t>Fundamentals</t>
  </si>
  <si>
    <t>Breakout Above 200 DMA</t>
  </si>
  <si>
    <t>Float &lt; 10M</t>
  </si>
  <si>
    <t>P/E &lt; 10</t>
  </si>
  <si>
    <t>Average Volume</t>
  </si>
  <si>
    <t xml:space="preserve"> IPO in last 12 months?</t>
  </si>
  <si>
    <t>Stock Price &lt; $15</t>
  </si>
  <si>
    <t>Short Interest &lt; 6%</t>
  </si>
  <si>
    <t>TGEN</t>
  </si>
  <si>
    <t>Change % (Ext. hrs)</t>
  </si>
  <si>
    <t>Q this year vs same Q last year</t>
  </si>
  <si>
    <t>Revenue Growth (YoY) &gt; 50%</t>
  </si>
  <si>
    <t>EPS Growth (YoY) &gt; 10%</t>
  </si>
  <si>
    <t>Volume 500% Above Avg.</t>
  </si>
  <si>
    <t>IMPORT BELOW HERE</t>
  </si>
  <si>
    <t>Institution Owned &lt; 40%</t>
  </si>
  <si>
    <t>BNAI</t>
  </si>
  <si>
    <t>SPCB</t>
  </si>
  <si>
    <t>DGHI</t>
  </si>
  <si>
    <t>CVU</t>
  </si>
  <si>
    <t>WKEY</t>
  </si>
  <si>
    <t>MNDO</t>
  </si>
  <si>
    <t>OS</t>
  </si>
  <si>
    <t>KULR</t>
  </si>
  <si>
    <t>KRKNF</t>
  </si>
  <si>
    <t>ICAD</t>
  </si>
  <si>
    <t>GCT</t>
  </si>
  <si>
    <t>EXOD</t>
  </si>
  <si>
    <t>EOSE</t>
  </si>
  <si>
    <t>DTSS</t>
  </si>
  <si>
    <t>DLHC</t>
  </si>
  <si>
    <t>BKKT</t>
  </si>
  <si>
    <t>BBAI</t>
  </si>
  <si>
    <t>AUID</t>
  </si>
  <si>
    <t>AISP</t>
  </si>
  <si>
    <t>AEVA</t>
  </si>
  <si>
    <t>ACHR</t>
  </si>
  <si>
    <t>GROV</t>
  </si>
  <si>
    <t>BHAT</t>
  </si>
  <si>
    <t>Technicals</t>
  </si>
  <si>
    <t>Debt/ Equity &lt; 0.3</t>
  </si>
  <si>
    <t>Insider Owned &gt; 15%</t>
  </si>
  <si>
    <t>Country</t>
  </si>
  <si>
    <t>CA</t>
  </si>
  <si>
    <t>IL</t>
  </si>
  <si>
    <t>US</t>
  </si>
  <si>
    <t>AU</t>
  </si>
  <si>
    <t>CN</t>
  </si>
  <si>
    <t>GB</t>
  </si>
  <si>
    <t>CH</t>
  </si>
  <si>
    <t>HK</t>
  </si>
  <si>
    <t>PLTR</t>
  </si>
  <si>
    <t>Row Labels</t>
  </si>
  <si>
    <t>Grand Total</t>
  </si>
  <si>
    <t>ABNB</t>
  </si>
  <si>
    <t>AIFF</t>
  </si>
  <si>
    <t>AMZN</t>
  </si>
  <si>
    <t>CVNA</t>
  </si>
  <si>
    <t>DJT</t>
  </si>
  <si>
    <t>NVDA</t>
  </si>
  <si>
    <t>RDDT</t>
  </si>
  <si>
    <t>SHOP</t>
  </si>
  <si>
    <t>TSLA</t>
  </si>
  <si>
    <t>Sum of Volume Above Average</t>
  </si>
  <si>
    <t>JTAI</t>
  </si>
  <si>
    <t>SPOT</t>
  </si>
  <si>
    <t>MSFT</t>
  </si>
  <si>
    <t>GNW</t>
  </si>
  <si>
    <t>FLYX</t>
  </si>
  <si>
    <t>Operating Margin &gt; 15%</t>
  </si>
  <si>
    <t>&lt; 40%</t>
  </si>
  <si>
    <t>&gt; 10%</t>
  </si>
  <si>
    <t>(blank)</t>
  </si>
  <si>
    <t>NKE</t>
  </si>
  <si>
    <t>SMCI</t>
  </si>
  <si>
    <t>AMD</t>
  </si>
  <si>
    <t>ASML</t>
  </si>
  <si>
    <t>TMUS</t>
  </si>
  <si>
    <t>2330</t>
  </si>
  <si>
    <t>HMR</t>
  </si>
  <si>
    <t>Sum of Operating Margin</t>
  </si>
  <si>
    <t>ULY</t>
  </si>
  <si>
    <t>DGX</t>
  </si>
  <si>
    <t>Stock Analysis.com</t>
  </si>
  <si>
    <t>Is it a Super Stock?</t>
  </si>
  <si>
    <t>OneStream, Inc. (XNAS:OS)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</si>
</sst>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5" formatCode="_(&quot;$&quot;* #,##0_);_(&quot;$&quot;* \(#,##0\);_(&quot;$&quot;* &quot;-&quot;??_);_(@_)"/>
    <numFmt numFmtId="166" formatCode="_(* #,##0_);_(* \(#,##0\);_(* &quot;-&quot;??_);_(@_)"/>
    <numFmt numFmtId="167" formatCode="_([$$-409]* #,##0_);_([$$-409]* \(#,##0\);_([$$-409]* &quot;-&quot;_);_(@_)"/>
    <numFmt numFmtId="168" formatCode="_([$$-409]* #,##0.00_);_([$$-409]* \(#,##0.00\);_([$$-409]* &quot;-&quot;??_);_(@_)"/>
    <numFmt numFmtId="169" formatCode="_ [$₪-40D]\ * #,##0_ ;_ [$₪-40D]\ * \-#,##0_ ;_ [$₪-40D]\ * &quot;-&quot;_ ;_ @_ "/>
    <numFmt numFmtId="170" formatCode="_-[$$-1009]* #,##0_-;\-[$$-1009]* #,##0_-;_-[$$-1009]* &quot;-&quot;_-;_-@_-"/>
    <numFmt numFmtId="171" formatCode="_-[$$-1009]* #,##0.00_-;\-[$$-1009]* #,##0.00_-;_-[$$-1009]* &quot;-&quot;??_-;_-@_-"/>
    <numFmt numFmtId="172" formatCode="yyyy\-mm\-dd;@"/>
    <numFmt numFmtId="173" formatCode="0.00000"/>
  </numFmts>
  <fonts count="11" x14ac:knownFonts="1">
    <font>
      <sz val="11"/>
      <color theme="1"/>
      <name val="Aptos Narrow"/>
      <family val="2"/>
      <scheme val="minor"/>
    </font>
    <font>
      <sz val="11"/>
      <color theme="1"/>
      <name val="Aptos Narrow"/>
      <family val="2"/>
      <scheme val="minor"/>
    </font>
    <font>
      <b/>
      <sz val="15"/>
      <color theme="3"/>
      <name val="Aptos Narrow"/>
      <family val="2"/>
      <scheme val="minor"/>
    </font>
    <font>
      <sz val="11"/>
      <color theme="1"/>
      <name val="Arial Nova"/>
      <family val="2"/>
    </font>
    <font>
      <b/>
      <sz val="11"/>
      <color theme="1"/>
      <name val="Arial Nova"/>
      <family val="2"/>
    </font>
    <font>
      <i/>
      <u/>
      <sz val="11"/>
      <color theme="1"/>
      <name val="Arial Nova"/>
      <family val="2"/>
    </font>
    <font>
      <i/>
      <sz val="11"/>
      <color theme="1"/>
      <name val="Arial Nova"/>
      <family val="2"/>
    </font>
    <font>
      <b/>
      <sz val="14"/>
      <color theme="1"/>
      <name val="Arial Nova"/>
      <family val="2"/>
    </font>
    <font>
      <b/>
      <sz val="16"/>
      <color theme="0"/>
      <name val="Arial Nova"/>
      <family val="2"/>
    </font>
    <font>
      <i/>
      <sz val="11"/>
      <color theme="0"/>
      <name val="Arial Nova"/>
      <family val="2"/>
    </font>
    <font>
      <sz val="11"/>
      <color theme="9" tint="-0.249977111117893"/>
      <name val="Arial Nova"/>
      <family val="2"/>
    </font>
  </fonts>
  <fills count="7">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gray0625">
        <bgColor theme="1"/>
      </patternFill>
    </fill>
  </fills>
  <borders count="6">
    <border>
      <left/>
      <right/>
      <top/>
      <bottom/>
      <diagonal/>
    </border>
    <border>
      <left/>
      <right/>
      <top/>
      <bottom style="thick">
        <color theme="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cellStyleXfs>
  <cellXfs count="55">
    <xf numFmtId="0" fontId="0" fillId="0" borderId="0" xfId="0"/>
    <xf numFmtId="0" fontId="0" fillId="0" borderId="0" xfId="0" applyAlignment="1">
      <alignment horizontal="left"/>
    </xf>
    <xf numFmtId="166" fontId="0" fillId="0" borderId="0" xfId="1" applyNumberFormat="1" applyFont="1" applyAlignment="1">
      <alignment horizontal="left"/>
    </xf>
    <xf numFmtId="167" fontId="0" fillId="0" borderId="0" xfId="0" applyNumberFormat="1"/>
    <xf numFmtId="169" fontId="0" fillId="0" borderId="0" xfId="0" applyNumberFormat="1"/>
    <xf numFmtId="170" fontId="0" fillId="0" borderId="0" xfId="0" applyNumberFormat="1"/>
    <xf numFmtId="1" fontId="0" fillId="0" borderId="0" xfId="0" applyNumberFormat="1"/>
    <xf numFmtId="168" fontId="0" fillId="0" borderId="0" xfId="0" applyNumberFormat="1"/>
    <xf numFmtId="2" fontId="0" fillId="0" borderId="0" xfId="0" applyNumberFormat="1"/>
    <xf numFmtId="166" fontId="0" fillId="0" borderId="0" xfId="1" applyNumberFormat="1" applyFont="1"/>
    <xf numFmtId="10" fontId="0" fillId="0" borderId="0" xfId="0" applyNumberFormat="1"/>
    <xf numFmtId="14" fontId="0" fillId="0" borderId="0" xfId="0" applyNumberFormat="1"/>
    <xf numFmtId="0" fontId="2" fillId="0" borderId="1" xfId="4"/>
    <xf numFmtId="171" fontId="0" fillId="0" borderId="0" xfId="0" applyNumberFormat="1"/>
    <xf numFmtId="0" fontId="0" fillId="0" borderId="0" xfId="0" applyAlignment="1">
      <alignment horizontal="center"/>
    </xf>
    <xf numFmtId="0" fontId="0" fillId="2" borderId="2" xfId="0" applyFill="1" applyBorder="1"/>
    <xf numFmtId="0" fontId="3" fillId="0" borderId="0" xfId="0" applyFont="1"/>
    <xf numFmtId="0" fontId="3" fillId="0" borderId="0" xfId="0" applyFont="1" applyAlignment="1">
      <alignment horizontal="left"/>
    </xf>
    <xf numFmtId="0" fontId="4" fillId="0" borderId="3" xfId="0" applyFont="1" applyBorder="1"/>
    <xf numFmtId="10" fontId="3" fillId="0" borderId="4" xfId="3" applyNumberFormat="1" applyFont="1" applyBorder="1"/>
    <xf numFmtId="0" fontId="3" fillId="0" borderId="4" xfId="0" applyFont="1" applyBorder="1" applyAlignment="1">
      <alignment horizontal="right"/>
    </xf>
    <xf numFmtId="166" fontId="3" fillId="0" borderId="4" xfId="1" applyNumberFormat="1" applyFont="1" applyBorder="1"/>
    <xf numFmtId="173" fontId="3" fillId="0" borderId="4" xfId="0" applyNumberFormat="1" applyFont="1" applyBorder="1"/>
    <xf numFmtId="44" fontId="3" fillId="0" borderId="0" xfId="0" applyNumberFormat="1" applyFont="1" applyAlignment="1">
      <alignment horizontal="left"/>
    </xf>
    <xf numFmtId="0" fontId="3" fillId="0" borderId="4" xfId="0" applyFont="1" applyBorder="1"/>
    <xf numFmtId="0" fontId="7" fillId="0" borderId="5" xfId="0" applyFont="1" applyBorder="1" applyAlignment="1">
      <alignment horizontal="center"/>
    </xf>
    <xf numFmtId="0" fontId="6" fillId="4" borderId="0" xfId="0" applyFont="1" applyFill="1" applyAlignment="1">
      <alignment horizontal="right"/>
    </xf>
    <xf numFmtId="0" fontId="3" fillId="4" borderId="0" xfId="0" applyFont="1" applyFill="1"/>
    <xf numFmtId="0" fontId="5" fillId="4" borderId="0" xfId="0" applyFont="1" applyFill="1"/>
    <xf numFmtId="0" fontId="3" fillId="4" borderId="0" xfId="0" applyFont="1" applyFill="1" applyAlignment="1">
      <alignment horizontal="left"/>
    </xf>
    <xf numFmtId="0" fontId="3" fillId="4" borderId="0" xfId="0" applyFont="1" applyFill="1" applyAlignment="1">
      <alignment horizontal="center"/>
    </xf>
    <xf numFmtId="14" fontId="3" fillId="0" borderId="0" xfId="0" applyNumberFormat="1" applyFont="1" applyAlignment="1">
      <alignment horizontal="left"/>
    </xf>
    <xf numFmtId="44" fontId="3" fillId="3" borderId="0" xfId="2" applyFont="1" applyFill="1" applyAlignment="1">
      <alignment horizontal="right"/>
    </xf>
    <xf numFmtId="0" fontId="9" fillId="5" borderId="2" xfId="0" applyFont="1" applyFill="1" applyBorder="1" applyAlignment="1">
      <alignment horizontal="center"/>
    </xf>
    <xf numFmtId="0" fontId="8" fillId="6" borderId="0" xfId="0" applyFont="1" applyFill="1"/>
    <xf numFmtId="0" fontId="4" fillId="3" borderId="3" xfId="0" applyFont="1" applyFill="1" applyBorder="1"/>
    <xf numFmtId="0" fontId="0" fillId="0" borderId="0" xfId="0" pivotButton="1"/>
    <xf numFmtId="10" fontId="0" fillId="0" borderId="0" xfId="3" applyNumberFormat="1" applyFont="1"/>
    <xf numFmtId="43" fontId="0" fillId="0" borderId="0" xfId="1" applyFont="1"/>
    <xf numFmtId="44" fontId="0" fillId="0" borderId="0" xfId="2" applyFont="1"/>
    <xf numFmtId="173" fontId="0" fillId="0" borderId="0" xfId="0" applyNumberFormat="1"/>
    <xf numFmtId="0" fontId="6" fillId="5" borderId="0" xfId="0" applyFont="1" applyFill="1" applyAlignment="1">
      <alignment horizontal="right"/>
    </xf>
    <xf numFmtId="0" fontId="6" fillId="0" borderId="0" xfId="0" applyFont="1" applyAlignment="1">
      <alignment horizontal="right"/>
    </xf>
    <xf numFmtId="0" fontId="3" fillId="0" borderId="0" xfId="0" applyFont="1" applyAlignment="1">
      <alignment horizontal="right"/>
    </xf>
    <xf numFmtId="0" fontId="6" fillId="5" borderId="0" xfId="0" applyFont="1" applyFill="1"/>
    <xf numFmtId="0" fontId="10" fillId="0" borderId="0" xfId="0" applyFont="1"/>
    <xf numFmtId="10" fontId="3" fillId="3" borderId="4" xfId="3" applyNumberFormat="1" applyFont="1" applyFill="1" applyBorder="1"/>
    <xf numFmtId="172" fontId="6" fillId="5" borderId="0" xfId="0" applyNumberFormat="1" applyFont="1" applyFill="1"/>
    <xf numFmtId="0" fontId="6" fillId="0" borderId="0" xfId="0" applyFont="1"/>
    <xf numFmtId="165" fontId="0" fillId="0" borderId="4" xfId="2" applyNumberFormat="1" applyFont="1" applyBorder="1"/>
    <xf numFmtId="0" fontId="0" fillId="0" borderId="5" xfId="0" applyBorder="1" applyAlignment="1">
      <alignment horizontal="left"/>
    </xf>
    <xf numFmtId="0" fontId="0" fillId="3" borderId="4" xfId="0" applyFill="1" applyBorder="1"/>
    <xf numFmtId="43" fontId="0" fillId="0" borderId="4" xfId="1" applyFont="1" applyBorder="1"/>
    <xf numFmtId="44" fontId="0" fillId="0" borderId="4" xfId="2" applyFont="1" applyBorder="1"/>
    <xf numFmtId="0" fontId="4" fillId="4" borderId="0" xfId="0" applyFont="1" applyFill="1"/>
  </cellXfs>
  <cellStyles count="5">
    <cellStyle name="Comma" xfId="1" builtinId="3"/>
    <cellStyle name="Currency" xfId="2" builtinId="4"/>
    <cellStyle name="Heading 1" xfId="4" builtinId="16"/>
    <cellStyle name="Normal" xfId="0" builtinId="0"/>
    <cellStyle name="Percent" xfId="3" builtinId="5"/>
  </cellStyles>
  <dxfs count="48">
    <dxf>
      <fill>
        <patternFill>
          <bgColor theme="9" tint="0.39994506668294322"/>
        </patternFill>
      </fill>
    </dxf>
    <dxf>
      <fill>
        <patternFill>
          <bgColor rgb="FFFB7575"/>
        </patternFill>
      </fill>
    </dxf>
    <dxf>
      <fill>
        <patternFill>
          <bgColor theme="9" tint="0.39994506668294322"/>
        </patternFill>
      </fill>
    </dxf>
    <dxf>
      <fill>
        <patternFill>
          <bgColor rgb="FFFF7979"/>
        </patternFill>
      </fill>
    </dxf>
    <dxf>
      <fill>
        <patternFill>
          <bgColor theme="9" tint="0.39994506668294322"/>
        </patternFill>
      </fill>
    </dxf>
    <dxf>
      <fill>
        <patternFill>
          <bgColor rgb="FFFF7979"/>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numFmt numFmtId="14" formatCode="0.00%"/>
    </dxf>
    <dxf>
      <numFmt numFmtId="19" formatCode="m/d/yyyy"/>
    </dxf>
    <dxf>
      <numFmt numFmtId="14" formatCode="0.00%"/>
    </dxf>
    <dxf>
      <numFmt numFmtId="14" formatCode="0.00%"/>
    </dxf>
    <dxf>
      <numFmt numFmtId="14" formatCode="0.00%"/>
    </dxf>
    <dxf>
      <numFmt numFmtId="2" formatCode="0.00"/>
    </dxf>
    <dxf>
      <numFmt numFmtId="14" formatCode="0.00%"/>
    </dxf>
    <dxf>
      <numFmt numFmtId="14" formatCode="0.00%"/>
    </dxf>
    <dxf>
      <numFmt numFmtId="14" formatCode="0.00%"/>
    </dxf>
    <dxf>
      <numFmt numFmtId="14" formatCode="0.00%"/>
    </dxf>
    <dxf>
      <numFmt numFmtId="173" formatCode="0.00000"/>
    </dxf>
    <dxf>
      <numFmt numFmtId="34" formatCode="_(&quot;$&quot;* #,##0.00_);_(&quot;$&quot;* \(#,##0.00\);_(&quot;$&quot;* &quot;-&quot;??_);_(@_)"/>
    </dxf>
    <dxf>
      <numFmt numFmtId="34" formatCode="_(&quot;$&quot;* #,##0.00_);_(&quot;$&quot;* \(#,##0.00\);_(&quot;$&quot;* &quot;-&quot;??_);_(@_)"/>
    </dxf>
    <dxf>
      <numFmt numFmtId="14" formatCode="0.00%"/>
    </dxf>
    <dxf>
      <numFmt numFmtId="14" formatCode="0.00%"/>
    </dxf>
    <dxf>
      <numFmt numFmtId="2" formatCode="0.00"/>
    </dxf>
    <dxf>
      <numFmt numFmtId="2" formatCode="0.00"/>
    </dxf>
    <dxf>
      <numFmt numFmtId="2" formatCode="0.00"/>
    </dxf>
    <dxf>
      <numFmt numFmtId="14" formatCode="0.00%"/>
    </dxf>
    <dxf>
      <numFmt numFmtId="14" formatCode="0.00%"/>
    </dxf>
    <dxf>
      <numFmt numFmtId="14" formatCode="0.00%"/>
    </dxf>
    <dxf>
      <numFmt numFmtId="166" formatCode="_(* #,##0_);_(* \(#,##0\);_(* &quot;-&quot;??_);_(@_)"/>
    </dxf>
    <dxf>
      <numFmt numFmtId="14" formatCode="0.00%"/>
    </dxf>
    <dxf>
      <numFmt numFmtId="14" formatCode="0.00%"/>
    </dxf>
    <dxf>
      <numFmt numFmtId="168" formatCode="_([$$-409]* #,##0.00_);_([$$-409]* \(#,##0.00\);_([$$-409]* &quot;-&quot;??_);_(@_)"/>
    </dxf>
    <dxf>
      <numFmt numFmtId="168" formatCode="_([$$-409]* #,##0.00_);_([$$-409]* \(#,##0.00\);_([$$-409]* &quot;-&quot;??_);_(@_)"/>
    </dxf>
    <dxf>
      <numFmt numFmtId="1" formatCode="0"/>
    </dxf>
    <dxf>
      <numFmt numFmtId="166" formatCode="_(* #,##0_);_(* \(#,##0\);_(* &quot;-&quot;??_);_(@_)"/>
    </dxf>
    <dxf>
      <numFmt numFmtId="166" formatCode="_(* #,##0_);_(* \(#,##0\);_(* &quot;-&quot;??_);_(@_)"/>
    </dxf>
    <dxf>
      <numFmt numFmtId="166" formatCode="_(* #,##0_);_(* \(#,##0\);_(* &quot;-&quot;??_);_(@_)"/>
    </dxf>
    <dxf>
      <numFmt numFmtId="168" formatCode="_([$$-409]* #,##0.00_);_([$$-409]* \(#,##0.00\);_([$$-409]* &quot;-&quot;??_);_(@_)"/>
    </dxf>
    <dxf>
      <numFmt numFmtId="168" formatCode="_([$$-409]* #,##0.00_);_([$$-409]* \(#,##0.00\);_([$$-409]* &quot;-&quot;??_);_(@_)"/>
    </dxf>
    <dxf>
      <numFmt numFmtId="14" formatCode="0.00%"/>
    </dxf>
    <dxf>
      <numFmt numFmtId="14" formatCode="0.00%"/>
    </dxf>
    <dxf>
      <numFmt numFmtId="168" formatCode="_([$$-409]* #,##0.00_);_([$$-409]* \(#,##0.00\);_([$$-409]* &quot;-&quot;??_);_(@_)"/>
    </dxf>
    <dxf>
      <numFmt numFmtId="167" formatCode="_([$$-409]* #,##0_);_([$$-409]* \(#,##0\);_([$$-409]* &quot;-&quot;_);_(@_)"/>
    </dxf>
    <dxf>
      <alignment horizontal="center" vertical="bottom" textRotation="0" wrapText="0" indent="0" justifyLastLine="0" shrinkToFit="0" readingOrder="0"/>
    </dxf>
  </dxfs>
  <tableStyles count="0" defaultTableStyle="TableStyleMedium2" defaultPivotStyle="PivotStyleLight16"/>
  <colors>
    <mruColors>
      <color rgb="FFFFCCCC"/>
      <color rgb="FFFFFF99"/>
      <color rgb="FF0000FF"/>
      <color rgb="FFFB7575"/>
      <color rgb="FFFF7979"/>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2.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aredStrings" Target="sharedStrings.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Array" Target="richData/rdarray.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Stock Analysis.xlsm]Volume Pivot Chart!PivotTable3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Daily Volume Above</a:t>
            </a:r>
            <a:r>
              <a:rPr lang="en-US" baseline="0"/>
              <a:t> Average</a:t>
            </a:r>
            <a:endParaRPr lang="en-US"/>
          </a:p>
        </c:rich>
      </c:tx>
      <c:layout>
        <c:manualLayout>
          <c:xMode val="edge"/>
          <c:yMode val="edge"/>
          <c:x val="0.38361628736053033"/>
          <c:y val="1.157262357060162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58518209340296"/>
          <c:y val="7.0386078422016385E-2"/>
          <c:w val="0.74986582195765827"/>
          <c:h val="0.90461850683240186"/>
        </c:manualLayout>
      </c:layout>
      <c:barChart>
        <c:barDir val="bar"/>
        <c:grouping val="clustered"/>
        <c:varyColors val="0"/>
        <c:ser>
          <c:idx val="0"/>
          <c:order val="0"/>
          <c:tx>
            <c:strRef>
              <c:f>'Volume Pivot Chart'!$B$1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'Volume Pivot Chart'!$A$2:$A$70</c:f>
              <c:strCache>
                <c:ptCount val="68"/>
                <c:pt idx="0">
                  <c:v>NKE</c:v>
                </c:pt>
                <c:pt idx="1">
                  <c:v>JTAI</c:v>
                </c:pt>
                <c:pt idx="2">
                  <c:v>HMR</c:v>
                </c:pt>
                <c:pt idx="3">
                  <c:v>ULY</c:v>
                </c:pt>
                <c:pt idx="4">
                  <c:v>BNAI</c:v>
                </c:pt>
                <c:pt idx="5">
                  <c:v>INTJ</c:v>
                </c:pt>
                <c:pt idx="6">
                  <c:v>AIFF</c:v>
                </c:pt>
                <c:pt idx="7">
                  <c:v>BHAT</c:v>
                </c:pt>
                <c:pt idx="8">
                  <c:v>FLYX</c:v>
                </c:pt>
                <c:pt idx="9">
                  <c:v>KRKNF</c:v>
                </c:pt>
                <c:pt idx="10">
                  <c:v>GVH</c:v>
                </c:pt>
                <c:pt idx="11">
                  <c:v>DGX</c:v>
                </c:pt>
                <c:pt idx="12">
                  <c:v>DTSS</c:v>
                </c:pt>
                <c:pt idx="13">
                  <c:v>SLI</c:v>
                </c:pt>
                <c:pt idx="14">
                  <c:v>XNET</c:v>
                </c:pt>
                <c:pt idx="15">
                  <c:v>NISN</c:v>
                </c:pt>
                <c:pt idx="16">
                  <c:v>AISP</c:v>
                </c:pt>
                <c:pt idx="17">
                  <c:v>GROV</c:v>
                </c:pt>
                <c:pt idx="18">
                  <c:v>KULR</c:v>
                </c:pt>
                <c:pt idx="19">
                  <c:v>PRCH</c:v>
                </c:pt>
                <c:pt idx="20">
                  <c:v>ICAD</c:v>
                </c:pt>
                <c:pt idx="21">
                  <c:v>SMCI</c:v>
                </c:pt>
                <c:pt idx="22">
                  <c:v>TGEN</c:v>
                </c:pt>
                <c:pt idx="23">
                  <c:v>LPTH</c:v>
                </c:pt>
                <c:pt idx="24">
                  <c:v>FUFU</c:v>
                </c:pt>
                <c:pt idx="25">
                  <c:v>DJT</c:v>
                </c:pt>
                <c:pt idx="26">
                  <c:v>CELH</c:v>
                </c:pt>
                <c:pt idx="27">
                  <c:v>MNDO</c:v>
                </c:pt>
                <c:pt idx="28">
                  <c:v>NRDS</c:v>
                </c:pt>
                <c:pt idx="29">
                  <c:v>GMM</c:v>
                </c:pt>
                <c:pt idx="30">
                  <c:v>ACHR</c:v>
                </c:pt>
                <c:pt idx="31">
                  <c:v>VSAT</c:v>
                </c:pt>
                <c:pt idx="32">
                  <c:v>CVU</c:v>
                </c:pt>
                <c:pt idx="33">
                  <c:v>SPCB</c:v>
                </c:pt>
                <c:pt idx="34">
                  <c:v>DLHC</c:v>
                </c:pt>
                <c:pt idx="35">
                  <c:v>ASML</c:v>
                </c:pt>
                <c:pt idx="36">
                  <c:v>AMD</c:v>
                </c:pt>
                <c:pt idx="37">
                  <c:v>FUBO</c:v>
                </c:pt>
                <c:pt idx="38">
                  <c:v>EOSE</c:v>
                </c:pt>
                <c:pt idx="39">
                  <c:v>SEDG</c:v>
                </c:pt>
                <c:pt idx="40">
                  <c:v>BKKT</c:v>
                </c:pt>
                <c:pt idx="41">
                  <c:v>TMUS</c:v>
                </c:pt>
                <c:pt idx="42">
                  <c:v>MGIC</c:v>
                </c:pt>
                <c:pt idx="43">
                  <c:v>MSFT</c:v>
                </c:pt>
                <c:pt idx="44">
                  <c:v>TSSI</c:v>
                </c:pt>
                <c:pt idx="45">
                  <c:v>PLTR</c:v>
                </c:pt>
                <c:pt idx="46">
                  <c:v>BBAI</c:v>
                </c:pt>
                <c:pt idx="47">
                  <c:v>SMR</c:v>
                </c:pt>
                <c:pt idx="48">
                  <c:v>ABNB</c:v>
                </c:pt>
                <c:pt idx="49">
                  <c:v>EXFY</c:v>
                </c:pt>
                <c:pt idx="50">
                  <c:v>EXOD</c:v>
                </c:pt>
                <c:pt idx="51">
                  <c:v>LUMN</c:v>
                </c:pt>
                <c:pt idx="52">
                  <c:v>2330</c:v>
                </c:pt>
                <c:pt idx="53">
                  <c:v>VRME</c:v>
                </c:pt>
                <c:pt idx="54">
                  <c:v>GCT</c:v>
                </c:pt>
                <c:pt idx="55">
                  <c:v>OS</c:v>
                </c:pt>
                <c:pt idx="56">
                  <c:v>TSLA</c:v>
                </c:pt>
                <c:pt idx="57">
                  <c:v>NVDA</c:v>
                </c:pt>
                <c:pt idx="58">
                  <c:v>GNW</c:v>
                </c:pt>
                <c:pt idx="59">
                  <c:v>WKEY</c:v>
                </c:pt>
                <c:pt idx="60">
                  <c:v>SG</c:v>
                </c:pt>
                <c:pt idx="61">
                  <c:v>AEVA</c:v>
                </c:pt>
                <c:pt idx="62">
                  <c:v>AMZN</c:v>
                </c:pt>
                <c:pt idx="63">
                  <c:v>AUID</c:v>
                </c:pt>
                <c:pt idx="64">
                  <c:v>SPOT</c:v>
                </c:pt>
                <c:pt idx="65">
                  <c:v>GRRR</c:v>
                </c:pt>
                <c:pt idx="66">
                  <c:v>RDDT</c:v>
                </c:pt>
                <c:pt idx="67">
                  <c:v>CVNA</c:v>
                </c:pt>
              </c:strCache>
            </c:strRef>
          </c:cat>
          <c:val>
            <c:numRef>
              <c:f>'Volume Pivot Chart'!$B$2:$B$70</c:f>
              <c:numCache>
                <c:formatCode>0.00%</c:formatCode>
                <c:ptCount val="68"/>
                <c:pt idx="0">
                  <c:v>-0.99993135812318656</c:v>
                </c:pt>
                <c:pt idx="1">
                  <c:v>-0.97975987323360714</c:v>
                </c:pt>
                <c:pt idx="2">
                  <c:v>-0.97746786475068259</c:v>
                </c:pt>
                <c:pt idx="3">
                  <c:v>-0.96284649253812926</c:v>
                </c:pt>
                <c:pt idx="4">
                  <c:v>-0.95190315028257244</c:v>
                </c:pt>
                <c:pt idx="5">
                  <c:v>-0.94365806657331797</c:v>
                </c:pt>
                <c:pt idx="6">
                  <c:v>-0.94304924978940652</c:v>
                </c:pt>
                <c:pt idx="7">
                  <c:v>-0.89081168361315555</c:v>
                </c:pt>
                <c:pt idx="8">
                  <c:v>-0.84775696612325124</c:v>
                </c:pt>
                <c:pt idx="9">
                  <c:v>-0.81841168975160927</c:v>
                </c:pt>
                <c:pt idx="10">
                  <c:v>-0.8095592194671658</c:v>
                </c:pt>
                <c:pt idx="11">
                  <c:v>-0.77314178638351028</c:v>
                </c:pt>
                <c:pt idx="12">
                  <c:v>-0.75807972993099337</c:v>
                </c:pt>
                <c:pt idx="13">
                  <c:v>-0.75422542155605954</c:v>
                </c:pt>
                <c:pt idx="14">
                  <c:v>-0.60632592606733993</c:v>
                </c:pt>
                <c:pt idx="15">
                  <c:v>-0.57215551325230629</c:v>
                </c:pt>
                <c:pt idx="16">
                  <c:v>-0.56910361002247001</c:v>
                </c:pt>
                <c:pt idx="17">
                  <c:v>-0.5304313178603447</c:v>
                </c:pt>
                <c:pt idx="18">
                  <c:v>-0.52435126297828016</c:v>
                </c:pt>
                <c:pt idx="19">
                  <c:v>-0.49334520911057006</c:v>
                </c:pt>
                <c:pt idx="20">
                  <c:v>-0.47416299694658831</c:v>
                </c:pt>
                <c:pt idx="21">
                  <c:v>-0.47019843280920426</c:v>
                </c:pt>
                <c:pt idx="22">
                  <c:v>-0.46378258233986663</c:v>
                </c:pt>
                <c:pt idx="23">
                  <c:v>-0.46259008336315166</c:v>
                </c:pt>
                <c:pt idx="24">
                  <c:v>-0.42362451220035163</c:v>
                </c:pt>
                <c:pt idx="25">
                  <c:v>-0.4091636836967133</c:v>
                </c:pt>
                <c:pt idx="26">
                  <c:v>-0.40545379939771614</c:v>
                </c:pt>
                <c:pt idx="27">
                  <c:v>-0.38090562777363235</c:v>
                </c:pt>
                <c:pt idx="28">
                  <c:v>-0.35045127591892306</c:v>
                </c:pt>
                <c:pt idx="29">
                  <c:v>-0.34113589826489926</c:v>
                </c:pt>
                <c:pt idx="30">
                  <c:v>-0.28532343270889621</c:v>
                </c:pt>
                <c:pt idx="31">
                  <c:v>-0.25210531650268714</c:v>
                </c:pt>
                <c:pt idx="32">
                  <c:v>-0.25005004718734808</c:v>
                </c:pt>
                <c:pt idx="33">
                  <c:v>-0.22019080681207659</c:v>
                </c:pt>
                <c:pt idx="34">
                  <c:v>-0.19514000703273926</c:v>
                </c:pt>
                <c:pt idx="35">
                  <c:v>-0.19251070362842193</c:v>
                </c:pt>
                <c:pt idx="36">
                  <c:v>-0.18415883776669442</c:v>
                </c:pt>
                <c:pt idx="37">
                  <c:v>-0.1747414305829999</c:v>
                </c:pt>
                <c:pt idx="38">
                  <c:v>-0.15945537412617691</c:v>
                </c:pt>
                <c:pt idx="39">
                  <c:v>-0.1518771964458773</c:v>
                </c:pt>
                <c:pt idx="40">
                  <c:v>-0.13955278960906484</c:v>
                </c:pt>
                <c:pt idx="41">
                  <c:v>-0.13767712510812299</c:v>
                </c:pt>
                <c:pt idx="42">
                  <c:v>-0.12414501608586337</c:v>
                </c:pt>
                <c:pt idx="43">
                  <c:v>-0.11205346195625125</c:v>
                </c:pt>
                <c:pt idx="44">
                  <c:v>-0.1117835852188207</c:v>
                </c:pt>
                <c:pt idx="45">
                  <c:v>-0.10595836179644971</c:v>
                </c:pt>
                <c:pt idx="46">
                  <c:v>-8.815420597124865E-2</c:v>
                </c:pt>
                <c:pt idx="47">
                  <c:v>-7.1868205666316895E-2</c:v>
                </c:pt>
                <c:pt idx="48">
                  <c:v>-3.7867767972154465E-2</c:v>
                </c:pt>
                <c:pt idx="49">
                  <c:v>-1.4961753040798763E-2</c:v>
                </c:pt>
                <c:pt idx="50">
                  <c:v>-1.467118946912908E-2</c:v>
                </c:pt>
                <c:pt idx="51">
                  <c:v>3.0825595935177977E-2</c:v>
                </c:pt>
                <c:pt idx="52">
                  <c:v>6.6535499525489802E-2</c:v>
                </c:pt>
                <c:pt idx="53">
                  <c:v>6.9891352840133467E-2</c:v>
                </c:pt>
                <c:pt idx="54">
                  <c:v>8.7488721804511282E-2</c:v>
                </c:pt>
                <c:pt idx="55">
                  <c:v>0.14844853201420077</c:v>
                </c:pt>
                <c:pt idx="56">
                  <c:v>0.16392431361395449</c:v>
                </c:pt>
                <c:pt idx="57">
                  <c:v>0.22854552304486075</c:v>
                </c:pt>
                <c:pt idx="58">
                  <c:v>0.24372061048038157</c:v>
                </c:pt>
                <c:pt idx="59">
                  <c:v>0.26359108189152225</c:v>
                </c:pt>
                <c:pt idx="60">
                  <c:v>0.3380173829665416</c:v>
                </c:pt>
                <c:pt idx="61">
                  <c:v>0.36693822964657957</c:v>
                </c:pt>
                <c:pt idx="62">
                  <c:v>0.43181727636380385</c:v>
                </c:pt>
                <c:pt idx="63">
                  <c:v>0.50318761384335153</c:v>
                </c:pt>
                <c:pt idx="64">
                  <c:v>0.56520168976964635</c:v>
                </c:pt>
                <c:pt idx="65">
                  <c:v>0.67485014894571116</c:v>
                </c:pt>
                <c:pt idx="66">
                  <c:v>0.95429517129775854</c:v>
                </c:pt>
                <c:pt idx="67">
                  <c:v>1.0882322344190438</c:v>
                </c:pt>
              </c:numCache>
            </c:numRef>
          </c:val>
          <c:extLst>
            <c:ext xmlns:c16="http://schemas.microsoft.com/office/drawing/2014/chart" uri="{C3380CC4-5D6E-409C-BE32-E72D297353CC}">
              <c16:uniqueId val="{00000002-D25C-4C1F-9992-BC235B902A59}"/>
            </c:ext>
          </c:extLst>
        </c:ser>
        <c:dLbls>
          <c:showLegendKey val="0"/>
          <c:showVal val="0"/>
          <c:showCatName val="0"/>
          <c:showSerName val="0"/>
          <c:showPercent val="0"/>
          <c:showBubbleSize val="0"/>
        </c:dLbls>
        <c:gapWidth val="115"/>
        <c:overlap val="-20"/>
        <c:axId val="948865359"/>
        <c:axId val="948862959"/>
      </c:barChart>
      <c:catAx>
        <c:axId val="948865359"/>
        <c:scaling>
          <c:orientation val="minMax"/>
        </c:scaling>
        <c:delete val="0"/>
        <c:axPos val="l"/>
        <c:majorGridlines>
          <c:spPr>
            <a:ln w="9525" cap="flat" cmpd="sng" algn="ctr">
              <a:noFill/>
              <a:round/>
            </a:ln>
            <a:effectLst/>
          </c:spPr>
        </c:majorGridlines>
        <c:numFmt formatCode="General" sourceLinked="1"/>
        <c:majorTickMark val="in"/>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8862959"/>
        <c:crossesAt val="0"/>
        <c:auto val="1"/>
        <c:lblAlgn val="ctr"/>
        <c:lblOffset val="100"/>
        <c:noMultiLvlLbl val="0"/>
      </c:catAx>
      <c:valAx>
        <c:axId val="948862959"/>
        <c:scaling>
          <c:orientation val="minMax"/>
          <c:max val="10"/>
          <c:min val="-1"/>
        </c:scaling>
        <c:delete val="0"/>
        <c:axPos val="b"/>
        <c:majorGridlines>
          <c:spPr>
            <a:ln w="22225" cap="flat" cmpd="sng" algn="ctr">
              <a:solidFill>
                <a:schemeClr val="bg1">
                  <a:alpha val="35000"/>
                </a:schemeClr>
              </a:solidFill>
              <a:round/>
            </a:ln>
            <a:effectLst/>
          </c:spPr>
        </c:majorGridlines>
        <c:minorGridlines>
          <c:spPr>
            <a:ln w="6350">
              <a:solidFill>
                <a:schemeClr val="bg1">
                  <a:alpha val="50000"/>
                </a:schemeClr>
              </a:solidFill>
            </a:ln>
            <a:effectLst/>
          </c:spPr>
        </c:minorGridlines>
        <c:numFmt formatCode="0.00%" sourceLinked="1"/>
        <c:majorTickMark val="in"/>
        <c:minorTickMark val="in"/>
        <c:tickLblPos val="high"/>
        <c:spPr>
          <a:noFill/>
          <a:ln>
            <a:solidFill>
              <a:schemeClr val="accent1"/>
            </a:solid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948865359"/>
        <c:crosses val="autoZero"/>
        <c:crossBetween val="between"/>
        <c:majorUnit val="1"/>
        <c:min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132805</xdr:colOff>
      <xdr:row>0</xdr:row>
      <xdr:rowOff>130628</xdr:rowOff>
    </xdr:from>
    <xdr:to>
      <xdr:col>16</xdr:col>
      <xdr:colOff>0</xdr:colOff>
      <xdr:row>69</xdr:row>
      <xdr:rowOff>152400</xdr:rowOff>
    </xdr:to>
    <xdr:graphicFrame macro="">
      <xdr:nvGraphicFramePr>
        <xdr:cNvPr id="2" name="Chart 1">
          <a:extLst>
            <a:ext uri="{FF2B5EF4-FFF2-40B4-BE49-F238E27FC236}">
              <a16:creationId xmlns:a16="http://schemas.microsoft.com/office/drawing/2014/main" id="{558C89CA-0E5D-A0DE-B780-3CF222A808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17255</xdr:colOff>
      <xdr:row>1</xdr:row>
      <xdr:rowOff>217736</xdr:rowOff>
    </xdr:from>
    <xdr:to>
      <xdr:col>5</xdr:col>
      <xdr:colOff>797782</xdr:colOff>
      <xdr:row>6</xdr:row>
      <xdr:rowOff>132291</xdr:rowOff>
    </xdr:to>
    <xdr:pic>
      <xdr:nvPicPr>
        <xdr:cNvPr id="5" name="Picture 4" descr="Bull Super Hero Flying To The Rescue on Behance">
          <a:extLst>
            <a:ext uri="{FF2B5EF4-FFF2-40B4-BE49-F238E27FC236}">
              <a16:creationId xmlns:a16="http://schemas.microsoft.com/office/drawing/2014/main" id="{F8D9F034-B6C4-DAEA-037E-6EFDE9E8D9FF}"/>
            </a:ext>
          </a:extLst>
        </xdr:cNvPr>
        <xdr:cNvPicPr>
          <a:picLocks noChangeAspect="1"/>
        </xdr:cNvPicPr>
      </xdr:nvPicPr>
      <xdr:blipFill>
        <a:blip xmlns:r="http://schemas.openxmlformats.org/officeDocument/2006/relationships" r:embed="rId1"/>
        <a:stretch>
          <a:fillRect/>
        </a:stretch>
      </xdr:blipFill>
      <xdr:spPr>
        <a:xfrm>
          <a:off x="5341555" y="476406"/>
          <a:ext cx="773996" cy="83169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Jeffery T. Batt" refreshedDate="45724.590204282409" createdVersion="8" refreshedVersion="8" minRefreshableVersion="3" recordCount="68" xr:uid="{8B0A669D-F7FB-4161-A1C8-AE3B584E7EB4}">
  <cacheSource type="worksheet">
    <worksheetSource name="Table9"/>
  </cacheSource>
  <cacheFields count="18">
    <cacheField name="Stocks" numFmtId="0">
      <sharedItems/>
    </cacheField>
    <cacheField name="Ticker symbol" numFmtId="0">
      <sharedItems count="71">
        <s v="SLI"/>
        <s v="TGEN"/>
        <s v="HMR"/>
        <s v="2330"/>
        <s v="FLYX"/>
        <s v="ASML"/>
        <s v="NKE"/>
        <s v="GCT"/>
        <s v="KRKNF"/>
        <s v="DGX"/>
        <s v="JTAI"/>
        <s v="BNAI"/>
        <s v="EXOD"/>
        <s v="GROV"/>
        <s v="SEDG"/>
        <s v="GVH"/>
        <s v="AIFF"/>
        <s v="BKKT"/>
        <s v="CELH"/>
        <s v="BHAT"/>
        <s v="GNW"/>
        <s v="SG"/>
        <s v="SPOT"/>
        <s v="TSSI"/>
        <s v="DLHC"/>
        <s v="AISP"/>
        <s v="AUID"/>
        <s v="GMM"/>
        <s v="WKEY"/>
        <s v="SMCI"/>
        <s v="OS"/>
        <s v="VSAT"/>
        <s v="EOSE"/>
        <s v="AEVA"/>
        <s v="INTJ"/>
        <s v="NISN"/>
        <s v="MGIC"/>
        <s v="NRDS"/>
        <s v="ICAD"/>
        <s v="ABNB"/>
        <s v="FUFU"/>
        <s v="MNDO"/>
        <s v="LPTH"/>
        <s v="EXFY"/>
        <s v="VRME"/>
        <s v="BBAI"/>
        <s v="DJT"/>
        <s v="RDDT"/>
        <s v="TMUS"/>
        <s v="TSLA"/>
        <s v="MSFT"/>
        <s v="AMD"/>
        <s v="AMZN"/>
        <s v="NVDA"/>
        <s v="SMR"/>
        <s v="ACHR"/>
        <s v="SPCB"/>
        <s v="CVNA"/>
        <s v="PLTR"/>
        <s v="XNET"/>
        <s v="FUBO"/>
        <s v="CVU"/>
        <s v="DTSS"/>
        <s v="KULR"/>
        <s v="GRRR"/>
        <s v="LUMN"/>
        <s v="PRCH"/>
        <s v="ULY"/>
        <s v="DGHI" u="1"/>
        <s v="SHOP" u="1"/>
        <s v="MGOL" u="1"/>
      </sharedItems>
    </cacheField>
    <cacheField name="Industry" numFmtId="0">
      <sharedItems/>
    </cacheField>
    <cacheField name="Market cap" numFmtId="0">
      <sharedItems containsSemiMixedTypes="0" containsString="0" containsNumber="1" containsInteger="1" minValue="6638230" maxValue="26451390000000"/>
    </cacheField>
    <cacheField name="Price" numFmtId="0">
      <sharedItems containsSemiMixedTypes="0" containsString="0" containsNumber="1" minValue="3.7199999999999997E-2" maxValue="1160"/>
    </cacheField>
    <cacheField name="Change (%)" numFmtId="10">
      <sharedItems containsSemiMixedTypes="0" containsString="0" containsNumber="1" minValue="-0.19761900000000002" maxValue="0.125"/>
    </cacheField>
    <cacheField name="Change % (Ext. hrs)" numFmtId="0">
      <sharedItems containsMixedTypes="1" containsNumber="1" minValue="-4.9861000000000003E-2" maxValue="5.7992000000000002E-2"/>
    </cacheField>
    <cacheField name="52 week high" numFmtId="0">
      <sharedItems containsMixedTypes="1" containsNumber="1" minValue="1.45" maxValue="3783"/>
    </cacheField>
    <cacheField name="52 week low" numFmtId="0">
      <sharedItems containsMixedTypes="1" containsNumber="1" minValue="3.1600000000000003E-2" maxValue="845.8"/>
    </cacheField>
    <cacheField name="Volume" numFmtId="166">
      <sharedItems containsSemiMixedTypes="0" containsString="0" containsNumber="1" containsInteger="1" minValue="912" maxValue="341755468"/>
    </cacheField>
    <cacheField name="Volume average" numFmtId="166">
      <sharedItems containsSemiMixedTypes="0" containsString="0" containsNumber="1" containsInteger="1" minValue="32020" maxValue="278178921"/>
    </cacheField>
    <cacheField name="Shares outstanding" numFmtId="166">
      <sharedItems containsSemiMixedTypes="0" containsString="0" containsNumber="1" containsInteger="1" minValue="1301610" maxValue="25932730000"/>
    </cacheField>
    <cacheField name="P/E" numFmtId="43">
      <sharedItems containsMixedTypes="1" containsNumber="1" minValue="0" maxValue="434.32049999999998"/>
    </cacheField>
    <cacheField name="Year incorporated" numFmtId="1">
      <sharedItems containsMixedTypes="1" containsNumber="1" containsInteger="1" minValue="1968" maxValue="2024"/>
    </cacheField>
    <cacheField name="Exchange" numFmtId="168">
      <sharedItems/>
    </cacheField>
    <cacheField name="Headquarters" numFmtId="168">
      <sharedItems/>
    </cacheField>
    <cacheField name="Country" numFmtId="0">
      <sharedItems containsBlank="1"/>
    </cacheField>
    <cacheField name="Volume Above Average" numFmtId="0" formula=" (Volume-'Volume average') /'Volume average'" databaseField="0"/>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8B0A669D-F7FB-4161-A1C8-AE3B584E7EB4}" pivotIgnoreInvalidCache="1" r:id="r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ffery T. Batt" refreshedDate="45724.59020486111" createdVersion="8" refreshedVersion="8" minRefreshableVersion="3" recordCount="96" xr:uid="{40414DFF-57EF-48F7-B803-C70A83F430E4}">
  <cacheSource type="worksheet">
    <worksheetSource name="Table2"/>
  </cacheSource>
  <cacheFields count="25">
    <cacheField name="Symbol" numFmtId="0">
      <sharedItems containsBlank="1" count="59">
        <s v="NVDA"/>
        <s v="AMZN"/>
        <s v="TSLA"/>
        <s v="PLTR"/>
        <s v="SHOP"/>
        <s v="LUMN"/>
        <s v="ABNB"/>
        <s v="FUBO"/>
        <s v="CELH"/>
        <s v="KULR"/>
        <s v="ACHR"/>
        <s v="SPOT"/>
        <s v="XNET"/>
        <s v="SLI"/>
        <s v="CVNA"/>
        <s v="BBAI"/>
        <s v="SG"/>
        <s v="VSAT"/>
        <s v="PRCH"/>
        <s v="RDDT"/>
        <s v="SEDG"/>
        <s v="JTAI"/>
        <s v="BHAT"/>
        <s v="EXFY"/>
        <s v="LPTH"/>
        <s v="NRDS"/>
        <s v="MGIC"/>
        <s v="GCT"/>
        <s v="ICAD"/>
        <s v="GROV"/>
        <s v="OS"/>
        <s v="DGHI"/>
        <s v="FUFU"/>
        <s v="MNDO"/>
        <s v="TSSI"/>
        <s v="TGEN"/>
        <s v="AISP"/>
        <s v="CVU"/>
        <s v="GRRR"/>
        <s v="VRME"/>
        <s v="DLHC"/>
        <s v="BKKT"/>
        <s v="AIFF"/>
        <s v="INTJ"/>
        <s v="EXOD"/>
        <s v="WKEY"/>
        <s v="GVH"/>
        <s v="DTSS"/>
        <s v="NISN"/>
        <s v="SPCB"/>
        <s v="GMM"/>
        <s v="EOSE"/>
        <s v="AUID"/>
        <s v="AEVA"/>
        <s v="SMR"/>
        <s v="DJT"/>
        <s v="BNAI"/>
        <s v="KRKNF"/>
        <m/>
      </sharedItems>
    </cacheField>
    <cacheField name="200-Day Moving Average" numFmtId="0">
      <sharedItems containsString="0" containsBlank="1" containsNumber="1" minValue="0.5323" maxValue="386.39400000000001"/>
    </cacheField>
    <cacheField name="Float" numFmtId="166">
      <sharedItems containsString="0" containsBlank="1" containsNumber="1" containsInteger="1" minValue="1760000" maxValue="23541441000"/>
    </cacheField>
    <cacheField name="Shares Insiders" numFmtId="10">
      <sharedItems containsString="0" containsBlank="1" containsNumber="1" minValue="1.82E-3" maxValue="0.78254999999999997"/>
    </cacheField>
    <cacheField name="Shares Institut." numFmtId="10">
      <sharedItems containsString="0" containsBlank="1" containsNumber="1" minValue="2.9999999999999997E-4" maxValue="1.02806"/>
    </cacheField>
    <cacheField name="Short % Shares" numFmtId="10">
      <sharedItems containsString="0" containsBlank="1" containsNumber="1" minValue="1E-4" maxValue="0.39466689999999999"/>
    </cacheField>
    <cacheField name="PS Ratio" numFmtId="2">
      <sharedItems containsString="0" containsBlank="1" containsNumber="1" minValue="5.0389999999999997E-2" maxValue="1974.32277"/>
    </cacheField>
    <cacheField name="PE Ratio" numFmtId="2">
      <sharedItems containsString="0" containsBlank="1" containsNumber="1" minValue="0.17100000000000001" maxValue="589.54999999999995"/>
    </cacheField>
    <cacheField name="PEG Ratio" numFmtId="2">
      <sharedItems containsString="0" containsBlank="1" containsNumber="1" minValue="-0.13" maxValue="54.575299999999999"/>
    </cacheField>
    <cacheField name="Operating Margin" numFmtId="10">
      <sharedItems containsString="0" containsBlank="1" containsNumber="1" minValue="-161.25454070000001" maxValue="0.65818319999999997"/>
    </cacheField>
    <cacheField name="Profit Margin" numFmtId="10">
      <sharedItems containsString="0" containsBlank="1" containsNumber="1" minValue="-141.92313330000002" maxValue="0.64717169999999991"/>
    </cacheField>
    <cacheField name="Free Cash Flow" numFmtId="44">
      <sharedItems containsString="0" containsBlank="1" containsNumber="1" minValue="-601970000" maxValue="56546000000"/>
    </cacheField>
    <cacheField name="Total Debt" numFmtId="44">
      <sharedItems containsString="0" containsBlank="1" containsNumber="1" minValue="41019" maxValue="130900000000"/>
    </cacheField>
    <cacheField name="Debt / Equity" numFmtId="173">
      <sharedItems containsString="0" containsBlank="1" containsNumber="1" minValue="2.4499999999999999E-3" maxValue="55.029240000000001"/>
    </cacheField>
    <cacheField name="Revenue Growth (Q)" numFmtId="10">
      <sharedItems containsString="0" containsBlank="1" containsNumber="1" minValue="-0.93165467625899279" maxValue="6.8905405405405409"/>
    </cacheField>
    <cacheField name="Revenue Growth (YoY)" numFmtId="10">
      <sharedItems containsString="0" containsBlank="1" containsNumber="1" minValue="-0.70523903845081615" maxValue="2.5227374432410685"/>
    </cacheField>
    <cacheField name="Revenue Growth (3Y)" numFmtId="10">
      <sharedItems containsString="0" containsBlank="1" containsNumber="1" minValue="-0.28509370000000001" maxValue="2.3252155999999999"/>
    </cacheField>
    <cacheField name="Revenue Growth (5Y)" numFmtId="10">
      <sharedItems containsString="0" containsBlank="1" containsNumber="1" minValue="-0.22423749999999998" maxValue="2.0695149000000002"/>
    </cacheField>
    <cacheField name="EPS" numFmtId="2">
      <sharedItems containsString="0" containsBlank="1" containsNumber="1" minValue="-214.82" maxValue="6.37"/>
    </cacheField>
    <cacheField name="EPS Growth" numFmtId="10">
      <sharedItems containsString="0" containsBlank="1" containsNumber="1" minValue="-0.6493349455864571" maxValue="14.5"/>
    </cacheField>
    <cacheField name="EPS Growth (3Y)" numFmtId="10">
      <sharedItems containsString="0" containsBlank="1" containsNumber="1" minValue="-0.2761228" maxValue="3.6415888000000001"/>
    </cacheField>
    <cacheField name="EPS Growth (5Y)" numFmtId="10">
      <sharedItems containsString="0" containsBlank="1" containsNumber="1" minValue="-3.1559799999999999E-2" maxValue="0.91743889999999995"/>
    </cacheField>
    <cacheField name="Options" numFmtId="0">
      <sharedItems containsBlank="1"/>
    </cacheField>
    <cacheField name="Analyst Count" numFmtId="0">
      <sharedItems containsString="0" containsBlank="1" containsNumber="1" containsInteger="1" minValue="1" maxValue="44"/>
    </cacheField>
    <cacheField name="IPO Date" numFmtId="14">
      <sharedItems containsNonDate="0" containsDate="1" containsString="0" containsBlank="1" minDate="1972-12-15T00:00:00" maxDate="2024-07-25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x v="0"/>
    <n v="124.777"/>
    <n v="23541441000"/>
    <n v="4.2900000000000001E-2"/>
    <n v="0.66170000000000007"/>
    <n v="1.1083600000000001E-2"/>
    <n v="29.584150000000001"/>
    <n v="53.90551"/>
    <n v="0.96960000000000002"/>
    <n v="0.62712659999999998"/>
    <n v="0.5568514"/>
    <n v="56546000000"/>
    <n v="9952000000"/>
    <n v="0.15101999999999999"/>
    <n v="0.93609271523178816"/>
    <n v="1.5243815466904391"/>
    <n v="0.67105180000000009"/>
    <n v="0.6242991"/>
    <n v="2.54"/>
    <n v="2.3465085638998682"/>
    <n v="0.98449549999999997"/>
    <n v="0.91743889999999995"/>
    <s v="Yes"/>
    <n v="41"/>
    <d v="1999-01-22T00:00:00"/>
  </r>
  <r>
    <x v="1"/>
    <n v="196.916"/>
    <n v="9386750327"/>
    <n v="8.8079999999999992E-2"/>
    <n v="0.64437999999999984"/>
    <n v="6.6769000000000004E-3"/>
    <n v="3.7934899999999998"/>
    <n v="41.297519999999999"/>
    <n v="1.8148"/>
    <n v="0.10751939999999999"/>
    <n v="9.2871200000000001E-2"/>
    <n v="38219000000"/>
    <n v="130900000000"/>
    <n v="0.45773999999999998"/>
    <n v="0.10491230341078239"/>
    <n v="0.10990892246666138"/>
    <n v="0.107354"/>
    <n v="0.17859660000000002"/>
    <n v="5.53"/>
    <n v="0.90689655172413808"/>
    <n v="0.19507010000000002"/>
    <n v="0.3687684"/>
    <s v="Yes"/>
    <n v="44"/>
    <d v="1997-05-15T00:00:00"/>
  </r>
  <r>
    <x v="2"/>
    <n v="271.43700000000001"/>
    <n v="2793105010"/>
    <n v="0.12909999999999999"/>
    <n v="0.47744999999999999"/>
    <n v="1.85331E-2"/>
    <n v="11.58658"/>
    <n v="172.47549000000001"/>
    <n v="5.0103999999999997"/>
    <n v="7.2433200000000003E-2"/>
    <n v="7.2586800000000007E-2"/>
    <n v="3581000000"/>
    <n v="8213000000"/>
    <n v="0.11264"/>
    <n v="2.1456669448086885E-2"/>
    <n v="9.4757835346634955E-3"/>
    <n v="0.21981529999999999"/>
    <n v="0.31783400000000001"/>
    <n v="2.04"/>
    <n v="-0.52558139534883719"/>
    <n v="7.7657699999999996E-2"/>
    <m/>
    <s v="Yes"/>
    <n v="36"/>
    <d v="2010-06-29T00:00:00"/>
  </r>
  <r>
    <x v="3"/>
    <n v="45.636000000000003"/>
    <n v="2097077792"/>
    <n v="5.1060000000000001E-2"/>
    <n v="0.52159"/>
    <n v="3.67807E-2"/>
    <n v="101.49926000000001"/>
    <n v="589.54999999999995"/>
    <n v="3.9807999999999999"/>
    <n v="0.13798460000000001"/>
    <n v="0.18008740000000001"/>
    <n v="980322000"/>
    <n v="254915000"/>
    <n v="5.6669999999999998E-2"/>
    <n v="0.2998375015004684"/>
    <n v="0.24516794445547574"/>
    <n v="0.22741230000000001"/>
    <m/>
    <n v="0.2"/>
    <n v="1.8571428571428572"/>
    <n v="0.70997589999999999"/>
    <m/>
    <s v="Yes"/>
    <n v="19"/>
    <d v="2020-09-30T00:00:00"/>
  </r>
  <r>
    <x v="4"/>
    <n v="83.123999999999995"/>
    <n v="1208124365"/>
    <n v="1.82E-3"/>
    <n v="0.70576000000000005"/>
    <n v="1.66982E-2"/>
    <n v="18.582529999999998"/>
    <n v="82.135480000000001"/>
    <n v="1.1192"/>
    <n v="0.1210586"/>
    <n v="0.22736490000000001"/>
    <n v="1597000000"/>
    <n v="1126000000"/>
    <n v="9.7420000000000007E-2"/>
    <n v="0.31156716417910446"/>
    <n v="0.25779036827195467"/>
    <n v="0.2440726"/>
    <n v="0.41270560000000001"/>
    <n v="1.55"/>
    <n v="14.5"/>
    <n v="-0.12199149999999999"/>
    <m/>
    <s v="Yes"/>
    <n v="32"/>
    <d v="2015-05-21T00:00:00"/>
  </r>
  <r>
    <x v="5"/>
    <n v="4.6029999999999998"/>
    <n v="992374747"/>
    <n v="7.7119999999999994E-2"/>
    <n v="0.66876999999999998"/>
    <n v="7.3228399999999999E-2"/>
    <n v="0.35376000000000002"/>
    <m/>
    <n v="54.575299999999999"/>
    <n v="-0.10018050000000001"/>
    <n v="-0.16057459999999998"/>
    <n v="1705000000"/>
    <n v="18820000000"/>
    <n v="55.029240000000001"/>
    <n v="-0.11535292502059867"/>
    <n v="-0.10404312668463611"/>
    <n v="-0.1267259"/>
    <n v="-8.7939500000000004E-2"/>
    <n v="-2.17"/>
    <m/>
    <m/>
    <m/>
    <s v="Yes"/>
    <n v="8"/>
    <d v="1972-12-15T00:00:00"/>
  </r>
  <r>
    <x v="6"/>
    <n v="135.911"/>
    <n v="418928128"/>
    <n v="9.3200000000000002E-3"/>
    <n v="0.80764999999999998"/>
    <n v="2.4542000000000001E-2"/>
    <n v="8.2486499999999996"/>
    <n v="48.634480000000003"/>
    <n v="20.803899999999999"/>
    <n v="0.15009230000000001"/>
    <n v="0.16955719999999999"/>
    <n v="4145000000"/>
    <n v="1994000000"/>
    <n v="0.23491999999999999"/>
    <n v="9.8616426258463452E-2"/>
    <n v="0.12904905738985528"/>
    <n v="0.26787529999999998"/>
    <n v="0.24308279999999999"/>
    <n v="2.9"/>
    <n v="-0.6493349455864571"/>
    <m/>
    <m/>
    <s v="Yes"/>
    <n v="31"/>
    <d v="2020-12-10T00:00:00"/>
  </r>
  <r>
    <x v="7"/>
    <n v="1.833"/>
    <n v="327587846"/>
    <n v="3.8609999999999998E-2"/>
    <n v="0.38096999999999992"/>
    <n v="0.1063814"/>
    <n v="0.85548999999999997"/>
    <m/>
    <m/>
    <n v="-0.14449960000000001"/>
    <n v="-0.12819710000000001"/>
    <n v="-117177000"/>
    <n v="380161000"/>
    <n v="1.71069"/>
    <n v="0.20338074688020935"/>
    <n v="0.24452092168294115"/>
    <n v="0.4585127"/>
    <n v="2.0695149000000002"/>
    <n v="-0.67"/>
    <m/>
    <m/>
    <m/>
    <s v="Yes"/>
    <n v="6"/>
    <d v="2020-10-08T00:00:00"/>
  </r>
  <r>
    <x v="8"/>
    <n v="42.777000000000001"/>
    <n v="178410025"/>
    <n v="0.37325000000000003"/>
    <n v="0.64178999999999997"/>
    <n v="0.1582402"/>
    <n v="3.9132699999999998"/>
    <n v="31.882709999999999"/>
    <n v="1.1108"/>
    <n v="0.17008710000000002"/>
    <n v="0.12402799999999999"/>
    <n v="169669000"/>
    <n v="5839000"/>
    <n v="1.3780000000000001E-2"/>
    <n v="-0.30930951223759406"/>
    <n v="0.19357133341981972"/>
    <n v="0.77367590000000008"/>
    <n v="0.83599059999999992"/>
    <n v="0.71699999999999997"/>
    <n v="0.51585623678646941"/>
    <m/>
    <n v="0.65931510000000004"/>
    <s v="Yes"/>
    <n v="18"/>
    <m/>
  </r>
  <r>
    <x v="9"/>
    <n v="0.83430000000000004"/>
    <n v="157836560"/>
    <n v="0.17474000000000001"/>
    <n v="4.9759999999999999E-2"/>
    <n v="3.4001099999999999E-2"/>
    <n v="55.498640000000002"/>
    <m/>
    <m/>
    <n v="-1.7182519999999999"/>
    <n v="-1.8654866000000001"/>
    <n v="-13834574"/>
    <n v="2696205"/>
    <n v="0.52110000000000001"/>
    <n v="4.7606269896780962E-2"/>
    <n v="4.2001160292807871E-2"/>
    <n v="0.73557509999999993"/>
    <n v="0.52657319999999996"/>
    <n v="-0.12"/>
    <m/>
    <m/>
    <m/>
    <s v="Yes"/>
    <n v="1"/>
    <m/>
  </r>
  <r>
    <x v="10"/>
    <n v="5.14"/>
    <n v="287076065"/>
    <n v="0.18826999999999999"/>
    <n v="0.3911"/>
    <n v="9.2891100000000004E-2"/>
    <m/>
    <m/>
    <m/>
    <m/>
    <m/>
    <n v="-415000000"/>
    <n v="78500000"/>
    <n v="0.16783999999999999"/>
    <m/>
    <m/>
    <m/>
    <m/>
    <n v="-1.31"/>
    <m/>
    <m/>
    <m/>
    <s v="Yes"/>
    <n v="8"/>
    <m/>
  </r>
  <r>
    <x v="11"/>
    <n v="386.39400000000001"/>
    <n v="149012723"/>
    <n v="0.25991999999999998"/>
    <n v="0.66259000000000001"/>
    <n v="5.2699999999999997E-2"/>
    <n v="7.9506300000000003"/>
    <n v="113.16131"/>
    <n v="2.0255000000000001"/>
    <n v="8.7515400000000007E-2"/>
    <n v="7.2608900000000004E-2"/>
    <n v="2390719319.7126532"/>
    <n v="2094496216.6134057"/>
    <n v="0.36216999999999999"/>
    <n v="0.15554344865159364"/>
    <n v="0.18313580433305668"/>
    <n v="0.1747312"/>
    <n v="0.1830135"/>
    <n v="5.729166666666667"/>
    <m/>
    <m/>
    <m/>
    <s v="Yes"/>
    <n v="29"/>
    <d v="2018-04-03T00:00:00"/>
  </r>
  <r>
    <x v="12"/>
    <n v="1.9039999999999999"/>
    <n v="138390000"/>
    <n v="0.19131999999999999"/>
    <n v="4.3999999999999997E-2"/>
    <n v="1.9E-3"/>
    <n v="0.62988999999999995"/>
    <n v="13.771929999999999"/>
    <m/>
    <n v="1.3094600000000001E-2"/>
    <n v="4.6498999999999999E-2"/>
    <m/>
    <n v="14637000"/>
    <n v="4.3430000000000003E-2"/>
    <n v="-4.8970208102538493E-2"/>
    <n v="-0.17601366326823287"/>
    <n v="0.131581"/>
    <n v="0.1261912"/>
    <n v="0.22800000000000001"/>
    <n v="0.22580645161290325"/>
    <n v="0.35326340000000001"/>
    <m/>
    <s v="Yes"/>
    <m/>
    <d v="2014-06-24T00:00:00"/>
  </r>
  <r>
    <x v="13"/>
    <n v="1.552"/>
    <n v="161101257"/>
    <n v="0.14005999999999999"/>
    <n v="9.2929999999999999E-2"/>
    <n v="2.3698700000000003E-2"/>
    <m/>
    <n v="1.8333299999999999"/>
    <m/>
    <m/>
    <m/>
    <n v="-54653000"/>
    <n v="600000"/>
    <n v="2.4499999999999999E-3"/>
    <m/>
    <m/>
    <m/>
    <m/>
    <n v="0.84"/>
    <m/>
    <m/>
    <m/>
    <s v="Yes"/>
    <n v="2"/>
    <m/>
  </r>
  <r>
    <x v="14"/>
    <n v="175.577"/>
    <n v="118140000"/>
    <n v="1.7590000000000001E-2"/>
    <n v="0.97667000000000004"/>
    <n v="5.16941E-2"/>
    <n v="4.6608299999999998"/>
    <m/>
    <n v="-0.13"/>
    <n v="5.52191E-2"/>
    <n v="1.3546000000000001E-3"/>
    <n v="557000000"/>
    <n v="6145000000"/>
    <n v="10.05728"/>
    <n v="0.31806707536963574"/>
    <n v="0.1221387696709586"/>
    <n v="4.8492199999999999E-2"/>
    <n v="0.29686390000000001"/>
    <n v="-0.02"/>
    <m/>
    <m/>
    <m/>
    <s v="Yes"/>
    <n v="20"/>
    <d v="2017-04-28T00:00:00"/>
  </r>
  <r>
    <x v="15"/>
    <n v="2.242"/>
    <n v="101865673"/>
    <n v="0.27772999999999998"/>
    <n v="0.10877000000000001"/>
    <n v="0.15554299999999999"/>
    <n v="14.487259999999999"/>
    <m/>
    <m/>
    <n v="-0.86173630000000001"/>
    <n v="-1.0990114"/>
    <n v="-32171000"/>
    <n v="206140000"/>
    <n v="2.09422"/>
    <n v="0.22116629398611276"/>
    <n v="9.0347061784568083E-5"/>
    <n v="0.11399319999999999"/>
    <m/>
    <n v="-0.9"/>
    <m/>
    <m/>
    <m/>
    <s v="Yes"/>
    <n v="4"/>
    <m/>
  </r>
  <r>
    <x v="16"/>
    <n v="32.558"/>
    <n v="100057548"/>
    <n v="2.6149999999999996E-2"/>
    <n v="1.02806"/>
    <n v="0.12290580000000001"/>
    <n v="4.6852400000000003"/>
    <m/>
    <m/>
    <n v="-0.15290429999999999"/>
    <n v="-0.13268150000000001"/>
    <n v="-26332000"/>
    <n v="314465000"/>
    <n v="0.67874000000000001"/>
    <n v="0.13037385614099128"/>
    <n v="0.21718751421527149"/>
    <n v="0.30265000000000003"/>
    <m/>
    <n v="-0.78"/>
    <m/>
    <m/>
    <m/>
    <s v="Yes"/>
    <n v="13"/>
    <d v="2021-11-18T00:00:00"/>
  </r>
  <r>
    <x v="17"/>
    <n v="13.018000000000001"/>
    <n v="93622616"/>
    <n v="9.6980000000000011E-2"/>
    <n v="0.87949999999999984"/>
    <n v="0.18498120000000001"/>
    <n v="0.25880999999999998"/>
    <m/>
    <m/>
    <n v="1.2515199999999999E-2"/>
    <n v="-9.4896999999999995E-2"/>
    <n v="-318624000"/>
    <n v="7454509000"/>
    <n v="1.5658700000000001"/>
    <n v="-4.2284759321565835E-3"/>
    <n v="0.19018096532383955"/>
    <n v="0.27933990000000003"/>
    <n v="0.14733299999999999"/>
    <n v="-3.21"/>
    <m/>
    <m/>
    <m/>
    <s v="Yes"/>
    <n v="7"/>
    <d v="1996-12-03T00:00:00"/>
  </r>
  <r>
    <x v="18"/>
    <n v="2.698"/>
    <n v="80585236"/>
    <n v="0.19409000000000001"/>
    <n v="0.49536000000000002"/>
    <n v="0.107516"/>
    <n v="1.1102700000000001"/>
    <m/>
    <m/>
    <n v="-0.18197559999999999"/>
    <n v="-0.14551900000000001"/>
    <n v="-57367000"/>
    <n v="399032000"/>
    <m/>
    <n v="-0.14168390502948536"/>
    <n v="0.19035131370736935"/>
    <n v="0.41537790000000002"/>
    <m/>
    <n v="-0.69"/>
    <m/>
    <m/>
    <m/>
    <s v="Yes"/>
    <n v="8"/>
    <m/>
  </r>
  <r>
    <x v="19"/>
    <n v="99.978999999999999"/>
    <n v="76490671"/>
    <n v="0.22030000000000002"/>
    <n v="0.78629000000000004"/>
    <n v="0.10563969999999999"/>
    <n v="26.466259999999998"/>
    <m/>
    <m/>
    <n v="-0.43113819999999997"/>
    <n v="-0.3724613"/>
    <n v="215820000"/>
    <n v="26702000"/>
    <n v="1.2529999999999999E-2"/>
    <n v="0.7125405405405405"/>
    <n v="0.61711206934078255"/>
    <m/>
    <m/>
    <n v="-3.33"/>
    <m/>
    <m/>
    <m/>
    <s v="Yes"/>
    <n v="23"/>
    <d v="2024-03-21T00:00:00"/>
  </r>
  <r>
    <x v="20"/>
    <n v="24.827000000000002"/>
    <n v="57379905"/>
    <n v="1.9009999999999999E-2"/>
    <n v="0.94294"/>
    <n v="0.39466689999999999"/>
    <n v="0.83933999999999997"/>
    <m/>
    <n v="4.6085000000000003"/>
    <n v="-1.5827394000000001"/>
    <n v="-1.5818786"/>
    <n v="-601970000"/>
    <n v="746004000"/>
    <n v="0.78003999999999996"/>
    <n v="-0.6402851214316736"/>
    <n v="-0.70523903845081615"/>
    <n v="-0.16063269999999999"/>
    <n v="-3.8094800000000005E-2"/>
    <n v="-28.93"/>
    <m/>
    <m/>
    <m/>
    <s v="Yes"/>
    <n v="26"/>
    <d v="2015-03-26T00:00:00"/>
  </r>
  <r>
    <x v="21"/>
    <n v="49.877000000000002"/>
    <n v="56830000"/>
    <n v="0.12418"/>
    <n v="2.12E-2"/>
    <n v="0.1097799"/>
    <n v="0.33096999999999999"/>
    <m/>
    <m/>
    <n v="-0.82028840000000003"/>
    <n v="-0.87525319999999995"/>
    <n v="-5879376"/>
    <n v="1150274"/>
    <m/>
    <n v="0.16340157918073506"/>
    <n v="0.46657063179069252"/>
    <m/>
    <m/>
    <n v="-214.82"/>
    <m/>
    <m/>
    <m/>
    <s v="No"/>
    <m/>
    <m/>
  </r>
  <r>
    <x v="22"/>
    <n v="0.5323"/>
    <n v="53488738"/>
    <n v="8.4070000000000006E-2"/>
    <n v="9.7900000000000001E-3"/>
    <n v="1.2999999999999999E-3"/>
    <n v="0.42886999999999997"/>
    <m/>
    <m/>
    <n v="-0.64368459999999994"/>
    <n v="-0.40103110000000003"/>
    <m/>
    <n v="2518445"/>
    <n v="6.3310000000000005E-2"/>
    <m/>
    <n v="-0.1516894663385665"/>
    <m/>
    <m/>
    <n v="-0.34"/>
    <m/>
    <m/>
    <m/>
    <s v="No"/>
    <m/>
    <d v="2019-07-26T00:00:00"/>
  </r>
  <r>
    <x v="23"/>
    <n v="2.39"/>
    <n v="48242722"/>
    <n v="0.31457000000000002"/>
    <n v="0.36016999999999993"/>
    <n v="7.5392999999999996E-3"/>
    <n v="2.4823400000000002"/>
    <m/>
    <m/>
    <n v="-5.2910399999999996E-2"/>
    <n v="-0.1160288"/>
    <n v="6772000"/>
    <n v="6559000"/>
    <n v="5.4690000000000003E-2"/>
    <n v="-2.9730914670904829E-2"/>
    <n v="-0.13531469411379826"/>
    <n v="2.3448500000000001E-2"/>
    <m/>
    <n v="-0.17"/>
    <m/>
    <m/>
    <m/>
    <s v="Yes"/>
    <n v="4"/>
    <d v="2021-11-10T00:00:00"/>
  </r>
  <r>
    <x v="24"/>
    <n v="1.7829999999999999"/>
    <n v="30429315"/>
    <n v="2.8500000000000001E-2"/>
    <n v="0.46915000000000001"/>
    <n v="2.4275E-3"/>
    <n v="3.5830799999999998"/>
    <m/>
    <m/>
    <n v="-0.26910010000000001"/>
    <n v="-0.28564900000000004"/>
    <n v="-3615059"/>
    <n v="12477481"/>
    <n v="0.46727000000000002"/>
    <n v="1.4925836260055059E-2"/>
    <n v="-1.0118953113119389E-2"/>
    <n v="-4.8917599999999999E-2"/>
    <n v="-9.9231000000000007E-3"/>
    <n v="-0.24"/>
    <m/>
    <m/>
    <m/>
    <s v="No"/>
    <n v="3"/>
    <d v="1996-02-22T00:00:00"/>
  </r>
  <r>
    <x v="25"/>
    <n v="13.5"/>
    <n v="28589751"/>
    <n v="6.2820000000000001E-2"/>
    <n v="0.79191"/>
    <n v="3.5979499999999998E-2"/>
    <n v="2.2606099999999998"/>
    <m/>
    <m/>
    <n v="-2.9134999999999999E-3"/>
    <n v="-2.3532000000000001E-2"/>
    <n v="65800000"/>
    <m/>
    <m/>
    <m/>
    <n v="-1.9125082435700103E-2"/>
    <n v="9.8295399999999991E-2"/>
    <m/>
    <n v="-0.14000000000000001"/>
    <m/>
    <m/>
    <m/>
    <s v="Yes"/>
    <n v="5"/>
    <d v="2021-11-04T00:00:00"/>
  </r>
  <r>
    <x v="26"/>
    <n v="11.372"/>
    <n v="25974844"/>
    <n v="0.47097"/>
    <n v="0.25913000000000003"/>
    <n v="8.0000000000000004E-4"/>
    <n v="1.18543"/>
    <n v="18.25714"/>
    <n v="1.08"/>
    <n v="0.107417"/>
    <n v="6.4883499999999997E-2"/>
    <n v="51044000"/>
    <n v="92338000"/>
    <n v="0.33046999999999999"/>
    <n v="0.1041364183991844"/>
    <n v="-3.8030873811871979E-2"/>
    <n v="5.8203199999999997E-2"/>
    <n v="0.1176932"/>
    <n v="0.7"/>
    <n v="-0.10256410256410264"/>
    <n v="7.0880600000000002E-2"/>
    <n v="0.14869840000000001"/>
    <s v="Yes"/>
    <n v="1"/>
    <d v="1991-08-28T00:00:00"/>
  </r>
  <r>
    <x v="27"/>
    <n v="25.021000000000001"/>
    <n v="25352441"/>
    <n v="0.13661000000000001"/>
    <n v="0.40205999999999997"/>
    <n v="0.1208138"/>
    <n v="0.76590000000000003"/>
    <n v="6.5759499999999997"/>
    <n v="0.36990000000000001"/>
    <n v="0.12622649999999999"/>
    <n v="0.1174994"/>
    <n v="124955000"/>
    <n v="504250000"/>
    <n v="1.2594099999999999"/>
    <n v="0.70242525271234291"/>
    <n v="0.89841080352592284"/>
    <m/>
    <m/>
    <n v="3.16"/>
    <n v="0.81609195402298851"/>
    <m/>
    <m/>
    <s v="Yes"/>
    <n v="3"/>
    <d v="2022-08-18T00:00:00"/>
  </r>
  <r>
    <x v="28"/>
    <n v="1.75"/>
    <n v="24819594"/>
    <n v="5.6320000000000009E-2"/>
    <n v="0.27159"/>
    <n v="1.0668500000000001E-2"/>
    <n v="5.0585699999999996"/>
    <m/>
    <m/>
    <n v="-0.32317849999999998"/>
    <n v="-0.142925"/>
    <n v="-4917000"/>
    <n v="415000"/>
    <n v="1.413E-2"/>
    <n v="3.5354775349864864E-2"/>
    <n v="0.1003311450647766"/>
    <n v="-0.19481390000000001"/>
    <n v="-8.1123000000000001E-2"/>
    <n v="-0.11"/>
    <m/>
    <m/>
    <m/>
    <s v="Yes"/>
    <m/>
    <d v="1986-12-03T00:00:00"/>
  </r>
  <r>
    <x v="29"/>
    <n v="1.4570000000000001"/>
    <n v="21660386"/>
    <n v="0.35865999999999998"/>
    <n v="0.34831000000000001"/>
    <n v="3.0127299999999999E-2"/>
    <n v="0.31941999999999998"/>
    <m/>
    <m/>
    <n v="-0.13553589999999999"/>
    <n v="-0.11637610000000001"/>
    <n v="-10811000"/>
    <n v="46959000"/>
    <n v="30.894079999999999"/>
    <n v="-0.2181376518218624"/>
    <n v="-0.21822809436218493"/>
    <n v="-0.1032184"/>
    <m/>
    <n v="-0.69"/>
    <m/>
    <m/>
    <m/>
    <s v="Yes"/>
    <n v="1"/>
    <m/>
  </r>
  <r>
    <x v="30"/>
    <m/>
    <n v="23831033"/>
    <n v="1.4630000000000001E-2"/>
    <n v="0.39981"/>
    <n v="5.9740999999999995E-3"/>
    <n v="8.0108300000000003"/>
    <m/>
    <m/>
    <m/>
    <n v="-0.39606250000000004"/>
    <m/>
    <n v="19856000"/>
    <n v="6.0159999999999998E-2"/>
    <n v="0.20687077118612396"/>
    <m/>
    <m/>
    <m/>
    <n v="-0.69"/>
    <m/>
    <m/>
    <m/>
    <s v="Yes"/>
    <n v="19"/>
    <d v="2024-07-24T00:00:00"/>
  </r>
  <r>
    <x v="31"/>
    <n v="1.581"/>
    <n v="19343612"/>
    <n v="0.29654999999999998"/>
    <n v="9.7839999999999983E-2"/>
    <n v="2.1718399999999999E-2"/>
    <n v="2.2479800000000001"/>
    <m/>
    <m/>
    <n v="-0.37753560000000003"/>
    <n v="-0.38007599999999997"/>
    <n v="-2885976"/>
    <n v="511315"/>
    <n v="1.8870000000000001E-2"/>
    <n v="0.71283033259082462"/>
    <n v="1.0056482721282127"/>
    <n v="0.36551240000000002"/>
    <m/>
    <n v="-0.54"/>
    <m/>
    <m/>
    <m/>
    <s v="No"/>
    <n v="1"/>
    <m/>
  </r>
  <r>
    <x v="32"/>
    <n v="4.5890000000000004"/>
    <n v="16402629"/>
    <n v="0.47681000000000007"/>
    <n v="3.569E-2"/>
    <n v="1.5061E-3"/>
    <n v="1.9223699999999999"/>
    <n v="21.739129999999999"/>
    <m/>
    <n v="0.12166589999999999"/>
    <n v="9.2781599999999992E-2"/>
    <n v="-239800767"/>
    <m/>
    <m/>
    <n v="0.47380699893955458"/>
    <n v="0.69049051915329063"/>
    <m/>
    <m/>
    <n v="0.23"/>
    <n v="7.3333333333333339"/>
    <m/>
    <m/>
    <s v="No"/>
    <n v="1"/>
    <m/>
  </r>
  <r>
    <x v="33"/>
    <n v="1.9419999999999999"/>
    <n v="16054451"/>
    <n v="0.21440999999999999"/>
    <n v="9.3560000000000004E-2"/>
    <n v="1E-4"/>
    <n v="1.84707"/>
    <n v="8.6956500000000005"/>
    <m/>
    <n v="0.19267019999999999"/>
    <n v="0.2208089"/>
    <n v="4499000"/>
    <n v="459000"/>
    <n v="1.975E-2"/>
    <n v="-1.0638297872340385E-2"/>
    <n v="2.2694305367086276E-2"/>
    <n v="-5.8446699999999997E-2"/>
    <n v="1.3555900000000001E-2"/>
    <n v="0.23"/>
    <n v="-7.999999999999996E-2"/>
    <n v="-6.3466599999999998E-2"/>
    <n v="-3.1559799999999999E-2"/>
    <s v="Yes"/>
    <m/>
    <d v="2000-08-08T00:00:00"/>
  </r>
  <r>
    <x v="34"/>
    <n v="6.3470000000000004"/>
    <n v="13070694"/>
    <n v="0.24942"/>
    <n v="0.15784999999999999"/>
    <n v="2.9151099999999999E-2"/>
    <n v="2.4723700000000002"/>
    <n v="79.411760000000001"/>
    <m/>
    <n v="5.2821E-2"/>
    <n v="3.5902299999999998E-2"/>
    <n v="18314000"/>
    <n v="3870000"/>
    <n v="0.50561999999999996"/>
    <n v="6.8905405405405409"/>
    <n v="1.9929893986027651"/>
    <n v="0.82756640000000004"/>
    <n v="0.46554900000000005"/>
    <n v="0.17"/>
    <m/>
    <m/>
    <n v="0.23157119999999998"/>
    <s v="Yes"/>
    <m/>
    <m/>
  </r>
  <r>
    <x v="35"/>
    <n v="1.1559999999999999"/>
    <n v="12820000"/>
    <n v="0.41360000000000002"/>
    <m/>
    <m/>
    <m/>
    <m/>
    <m/>
    <n v="-0.23"/>
    <n v="-0.24149999999999999"/>
    <n v="-774120"/>
    <n v="3810000"/>
    <n v="0.34"/>
    <n v="-0.2084"/>
    <n v="-5.6000000000000001E-2"/>
    <n v="-6.3E-3"/>
    <n v="-0.08"/>
    <n v="-0.22"/>
    <m/>
    <m/>
    <m/>
    <m/>
    <m/>
    <m/>
  </r>
  <r>
    <x v="36"/>
    <n v="3.7250000000000001"/>
    <n v="11045085"/>
    <n v="0.47094000000000003"/>
    <n v="0.13519"/>
    <n v="6.9715100000000002E-2"/>
    <n v="8.5114099999999997"/>
    <n v="6.22"/>
    <m/>
    <n v="-0.10969419999999999"/>
    <n v="0.64717169999999991"/>
    <n v="-5165579"/>
    <n v="4529413"/>
    <m/>
    <n v="0.20269330586539921"/>
    <n v="1.4845688042155931"/>
    <m/>
    <m/>
    <n v="1"/>
    <m/>
    <n v="3.6415888000000001"/>
    <m/>
    <s v="Yes"/>
    <n v="2"/>
    <m/>
  </r>
  <r>
    <x v="37"/>
    <n v="3.22"/>
    <n v="8925654"/>
    <n v="0.24315000000000001"/>
    <n v="0.22311"/>
    <n v="2.7805E-3"/>
    <n v="0.70643999999999996"/>
    <n v="3.2846700000000002"/>
    <n v="0.52259999999999995"/>
    <n v="7.4890299999999993E-2"/>
    <n v="0.2063335"/>
    <n v="1873358"/>
    <n v="21767335"/>
    <n v="0.87280999999999997"/>
    <n v="-4.80157008778066E-2"/>
    <n v="-4.8572619130501933E-2"/>
    <n v="-6.8400600000000006E-2"/>
    <n v="-1.01265E-2"/>
    <n v="1.37"/>
    <n v="0.85135135135135154"/>
    <n v="0.30957460000000003"/>
    <m/>
    <s v="Yes"/>
    <m/>
    <m/>
  </r>
  <r>
    <x v="38"/>
    <n v="6.5380000000000003"/>
    <n v="8244432"/>
    <n v="0.10111000000000001"/>
    <n v="0.16685"/>
    <n v="6.7078300000000007E-2"/>
    <n v="6.0558399999999999"/>
    <n v="8.9584799999999998"/>
    <m/>
    <n v="0.32727379999999995"/>
    <n v="0.28346670000000002"/>
    <n v="-8862785"/>
    <n v="21307429"/>
    <n v="0.29570999999999997"/>
    <m/>
    <n v="2.5227374432410685"/>
    <m/>
    <m/>
    <n v="2.89"/>
    <m/>
    <m/>
    <m/>
    <s v="Yes"/>
    <n v="1"/>
    <m/>
  </r>
  <r>
    <x v="39"/>
    <n v="1.365"/>
    <n v="7859555"/>
    <n v="0.20150000000000001"/>
    <n v="0.10341000000000002"/>
    <n v="1.35687E-2"/>
    <n v="0.58206000000000002"/>
    <m/>
    <m/>
    <n v="-0.15772600000000001"/>
    <n v="-0.13147790000000001"/>
    <n v="677000"/>
    <n v="2450000"/>
    <n v="0.23832999999999999"/>
    <n v="-3.0157030692362641E-2"/>
    <n v="-3.9691289966923948E-2"/>
    <n v="2.3252155999999999"/>
    <n v="1.6792131000000001"/>
    <n v="-0.31"/>
    <m/>
    <m/>
    <m/>
    <s v="No"/>
    <n v="1"/>
    <m/>
  </r>
  <r>
    <x v="40"/>
    <n v="9.4659999999999993"/>
    <n v="7081376"/>
    <n v="0.13042999999999999"/>
    <n v="0.71711000000000003"/>
    <n v="1.14345E-2"/>
    <n v="0.22419"/>
    <n v="13.772729999999999"/>
    <n v="1.1263000000000001"/>
    <n v="6.0994799999999995E-2"/>
    <n v="1.6357699999999999E-2"/>
    <n v="9543000"/>
    <n v="178325000"/>
    <n v="1.60019"/>
    <n v="-7.2233009708737916E-2"/>
    <n v="-3.0239778550854801E-2"/>
    <n v="4.4715600000000001E-2"/>
    <n v="0.16801860000000002"/>
    <n v="0.44"/>
    <n v="1.9333333333333338"/>
    <n v="-0.2761228"/>
    <n v="1.9244899999999999E-2"/>
    <s v="Yes"/>
    <m/>
    <m/>
  </r>
  <r>
    <x v="41"/>
    <n v="17.024999999999999"/>
    <n v="6154640"/>
    <n v="0.24420999999999998"/>
    <n v="0.23635"/>
    <n v="5.8663699999999999E-2"/>
    <n v="5.0389999999999997E-2"/>
    <m/>
    <m/>
    <n v="-8.3742199999999989E-2"/>
    <n v="-2.84055E-2"/>
    <n v="-63718000"/>
    <m/>
    <m/>
    <n v="0.60381200738374985"/>
    <n v="2.2799907141506028"/>
    <n v="2.2756711999999997"/>
    <m/>
    <n v="-12.23"/>
    <m/>
    <m/>
    <m/>
    <s v="Yes"/>
    <n v="2"/>
    <m/>
  </r>
  <r>
    <x v="42"/>
    <n v="4.8819999999999997"/>
    <n v="6011613"/>
    <n v="0.44823000000000002"/>
    <n v="1.0280000000000001E-2"/>
    <n v="6.8218399999999998E-2"/>
    <n v="21.961860000000001"/>
    <m/>
    <m/>
    <n v="-1.0790264000000001"/>
    <n v="-1.0774484"/>
    <n v="-5106132"/>
    <m/>
    <m/>
    <n v="0.43478260869565211"/>
    <n v="1.255877710126474E-2"/>
    <n v="-0.28509370000000001"/>
    <n v="-9.7286499999999998E-2"/>
    <n v="-3.26"/>
    <m/>
    <m/>
    <m/>
    <s v="No"/>
    <m/>
    <m/>
  </r>
  <r>
    <x v="43"/>
    <n v="0.96309999999999996"/>
    <n v="4120463"/>
    <n v="0.77457999999999994"/>
    <n v="2.9199999999999999E-3"/>
    <n v="1.13194E-2"/>
    <n v="4.0302199999999999"/>
    <n v="38.833060000000003"/>
    <m/>
    <n v="5.7076399999999999E-2"/>
    <n v="9.7179699999999994E-2"/>
    <m/>
    <n v="443843.79231763474"/>
    <n v="5.2159999999999998E-2"/>
    <m/>
    <n v="0.56334204131606902"/>
    <m/>
    <m/>
    <n v="2.3047375160051217E-2"/>
    <n v="-0.5714285714285714"/>
    <m/>
    <m/>
    <s v="No"/>
    <m/>
    <d v="2024-03-20T00:00:00"/>
  </r>
  <r>
    <x v="44"/>
    <n v="23.32"/>
    <n v="3961348"/>
    <n v="0.20674999999999996"/>
    <m/>
    <m/>
    <n v="14.95697"/>
    <n v="28.73563"/>
    <m/>
    <n v="0.65818319999999997"/>
    <n v="0.62729599999999996"/>
    <n v="-9303000"/>
    <m/>
    <m/>
    <n v="0.6792153589315526"/>
    <m/>
    <m/>
    <m/>
    <n v="1.74"/>
    <m/>
    <m/>
    <m/>
    <s v="No"/>
    <n v="2"/>
    <m/>
  </r>
  <r>
    <x v="45"/>
    <n v="3.427"/>
    <n v="3201737"/>
    <m/>
    <n v="1.0880000000000001E-2"/>
    <n v="3.8300000000000001E-2"/>
    <n v="3.25631"/>
    <n v="7.95946"/>
    <m/>
    <n v="-1.0269716"/>
    <n v="-0.85117940000000003"/>
    <m/>
    <n v="17153000"/>
    <n v="0.46505000000000002"/>
    <m/>
    <n v="-0.25269755350592926"/>
    <m/>
    <m/>
    <n v="0.74"/>
    <m/>
    <m/>
    <m/>
    <s v="No"/>
    <n v="1"/>
    <m/>
  </r>
  <r>
    <x v="46"/>
    <n v="0.82440000000000002"/>
    <n v="3180206"/>
    <n v="0.78254999999999997"/>
    <n v="2.0500000000000002E-3"/>
    <n v="1.5545100000000001E-2"/>
    <n v="0.63663000000000003"/>
    <n v="8"/>
    <m/>
    <n v="8.1018000000000007E-2"/>
    <n v="8.0954899999999996E-2"/>
    <n v="-266496"/>
    <n v="41019"/>
    <n v="7.9299999999999995E-3"/>
    <m/>
    <n v="-0.11009850790852382"/>
    <m/>
    <m/>
    <n v="0.09"/>
    <n v="0.125"/>
    <m/>
    <m/>
    <s v="No"/>
    <m/>
    <d v="2023-11-08T00:00:00"/>
  </r>
  <r>
    <x v="47"/>
    <n v="3.0670000000000002"/>
    <n v="2576100"/>
    <n v="0.36386000000000002"/>
    <n v="4.4000000000000007E-4"/>
    <n v="3.3090899999999999E-2"/>
    <n v="0.36570999999999998"/>
    <m/>
    <m/>
    <n v="-0.2696036"/>
    <n v="-0.26690200000000003"/>
    <n v="-2363612"/>
    <n v="1315988"/>
    <n v="0.40666000000000002"/>
    <n v="0.80256949197288208"/>
    <n v="1.1751398202713967"/>
    <n v="0.85945710000000008"/>
    <m/>
    <n v="-4.09"/>
    <m/>
    <m/>
    <m/>
    <s v="No"/>
    <m/>
    <m/>
  </r>
  <r>
    <x v="48"/>
    <n v="8.4909999999999997"/>
    <n v="2520435"/>
    <n v="0.23253000000000001"/>
    <n v="2.2960000000000001E-2"/>
    <n v="3.1268900000000002E-2"/>
    <n v="6.9290000000000004E-2"/>
    <n v="1.85714"/>
    <m/>
    <n v="0.06"/>
    <n v="3.6619899999999997E-2"/>
    <n v="-91322495"/>
    <n v="5115538"/>
    <n v="2.5010000000000001E-2"/>
    <m/>
    <n v="0.86063142599694553"/>
    <n v="1.6592993"/>
    <m/>
    <n v="4.2"/>
    <n v="0.13821138211382111"/>
    <n v="8.0648999999999998E-3"/>
    <m/>
    <s v="No"/>
    <m/>
    <d v="2016-12-27T00:00:00"/>
  </r>
  <r>
    <x v="49"/>
    <n v="4.7160000000000002"/>
    <n v="1816451"/>
    <n v="9.0200000000000002E-2"/>
    <n v="1.3299999999999999E-2"/>
    <n v="5.3E-3"/>
    <n v="1.2429699999999999"/>
    <n v="0.17100000000000001"/>
    <m/>
    <n v="-1.3821099999999999E-2"/>
    <n v="5.70354E-2"/>
    <n v="-2733000"/>
    <n v="30871000"/>
    <n v="2.2358899999999999"/>
    <n v="0.47305739945333847"/>
    <n v="0.52093603036999259"/>
    <n v="0.31030560000000001"/>
    <n v="-1.8719900000000001E-2"/>
    <n v="-0.21"/>
    <m/>
    <m/>
    <m/>
    <s v="No"/>
    <n v="1"/>
    <m/>
  </r>
  <r>
    <x v="50"/>
    <m/>
    <n v="1760000"/>
    <n v="0.39818999999999993"/>
    <n v="2.9999999999999997E-4"/>
    <n v="3.23062E-2"/>
    <n v="0.29056999999999999"/>
    <n v="0.64363999999999999"/>
    <m/>
    <n v="0.16497150000000002"/>
    <n v="0.29344950000000003"/>
    <n v="18103146"/>
    <n v="5976279"/>
    <n v="0.13092000000000001"/>
    <m/>
    <n v="0.53815879122842758"/>
    <m/>
    <m/>
    <n v="6.37"/>
    <n v="0.62086513994910941"/>
    <m/>
    <m/>
    <s v="No"/>
    <m/>
    <d v="2023-10-10T00:00:00"/>
  </r>
  <r>
    <x v="51"/>
    <n v="2.6840000000000002"/>
    <n v="214423584"/>
    <n v="2.4969999999999999E-2"/>
    <n v="0.34709000000000001"/>
    <n v="0.29272770000000004"/>
    <n v="72.962580000000003"/>
    <m/>
    <m/>
    <n v="-11.076388400000001"/>
    <n v="-35.012497500000002"/>
    <n v="-176883000"/>
    <n v="191158000"/>
    <m/>
    <n v="0.24853801169590639"/>
    <n v="0.20339391989705646"/>
    <n v="1.0736824"/>
    <m/>
    <n v="-2.41"/>
    <m/>
    <m/>
    <m/>
    <s v="Yes"/>
    <n v="6"/>
    <m/>
  </r>
  <r>
    <x v="52"/>
    <n v="7.5880000000000001"/>
    <n v="9013463"/>
    <n v="0.18770000000000001"/>
    <n v="0.10842"/>
    <n v="2.63158E-2"/>
    <n v="97.168970000000002"/>
    <m/>
    <m/>
    <n v="-17.487546099999999"/>
    <n v="-17.009349700000001"/>
    <n v="-10628050"/>
    <n v="236769"/>
    <n v="1.5180000000000001E-2"/>
    <n v="4.7369379335776349"/>
    <n v="0.97398508526792926"/>
    <n v="-0.18765090000000001"/>
    <n v="-0.22423749999999998"/>
    <n v="-1.1100000000000001"/>
    <m/>
    <m/>
    <m/>
    <s v="No"/>
    <m/>
    <m/>
  </r>
  <r>
    <x v="53"/>
    <n v="3.5609999999999999"/>
    <n v="18901009"/>
    <n v="0.37863999999999998"/>
    <n v="0.45362999999999998"/>
    <n v="3.2083100000000003E-2"/>
    <n v="28.899550000000001"/>
    <m/>
    <m/>
    <n v="-20.172681700000002"/>
    <n v="-20.185589"/>
    <n v="-118999000"/>
    <n v="1306000"/>
    <n v="1.01E-2"/>
    <n v="1.7777777777777777"/>
    <n v="1.7622014537902388"/>
    <n v="3.8547400000000002E-2"/>
    <m/>
    <n v="-3.14"/>
    <m/>
    <m/>
    <m/>
    <s v="Yes"/>
    <n v="5"/>
    <m/>
  </r>
  <r>
    <x v="54"/>
    <n v="14.906000000000001"/>
    <n v="94935244"/>
    <n v="0.10678000000000001"/>
    <n v="0.58701000000000003"/>
    <n v="8.4623500000000004E-2"/>
    <n v="382.74453"/>
    <m/>
    <m/>
    <n v="-26.8156076"/>
    <n v="-10.893239400000001"/>
    <n v="-155512000"/>
    <m/>
    <m/>
    <n v="-0.93165467625899279"/>
    <n v="-0.65967355219476209"/>
    <n v="1.2261941000000001"/>
    <m/>
    <n v="-0.95"/>
    <m/>
    <m/>
    <m/>
    <s v="Yes"/>
    <n v="5"/>
    <m/>
  </r>
  <r>
    <x v="55"/>
    <n v="32.378999999999998"/>
    <n v="86380322"/>
    <n v="0.53664999999999996"/>
    <n v="0.10341000000000002"/>
    <n v="5.6811899999999999E-2"/>
    <n v="1974.32277"/>
    <m/>
    <m/>
    <n v="-43.321413700000001"/>
    <n v="-110.5091994"/>
    <n v="-63937500"/>
    <n v="12342600"/>
    <n v="1.512E-2"/>
    <n v="-5.6380098945206791E-2"/>
    <n v="-0.26951507662959828"/>
    <m/>
    <m/>
    <n v="-3.9"/>
    <m/>
    <m/>
    <m/>
    <s v="Yes"/>
    <m/>
    <m/>
  </r>
  <r>
    <x v="56"/>
    <n v="1.5629999999999999"/>
    <n v="20326743"/>
    <n v="0.49868000000000001"/>
    <n v="3.6040000000000003E-2"/>
    <n v="3.5003E-3"/>
    <n v="187.21449999999999"/>
    <m/>
    <m/>
    <n v="-161.25454070000001"/>
    <n v="-141.92313330000002"/>
    <n v="-14347117"/>
    <n v="2791974"/>
    <n v="0.15728"/>
    <m/>
    <m/>
    <m/>
    <m/>
    <n v="-0.98"/>
    <m/>
    <m/>
    <m/>
    <s v="No"/>
    <n v="1"/>
    <m/>
  </r>
  <r>
    <x v="57"/>
    <n v="1.2569999999999999"/>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r>
    <x v="58"/>
    <m/>
    <m/>
    <m/>
    <m/>
    <m/>
    <m/>
    <m/>
    <m/>
    <m/>
    <m/>
    <m/>
    <m/>
    <m/>
    <m/>
    <m/>
    <m/>
    <m/>
    <m/>
    <m/>
    <m/>
    <m/>
    <m/>
    <m/>
    <m/>
  </r>
</pivotCacheRecords>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s v="Standard Lithium Ltd (XTSX:SLI)"/>
    <x v="0"/>
    <s v="Metals &amp; Mining"/>
    <n v="328229180"/>
    <n v="1.9"/>
    <n v="3.8251E-2"/>
    <s v="#FIELD!"/>
    <n v="3.67"/>
    <n v="1.45"/>
    <n v="49848"/>
    <n v="202820"/>
    <n v="172752200"/>
    <n v="2.4249000000000001"/>
    <n v="2021"/>
    <s v="TSX Venture Exchange"/>
    <s v="1625 - 1075 West Georgia Street, VANCOUVER, BC, V6E 3C9 CA"/>
    <s v="CA"/>
  </r>
  <r>
    <s v="TECOGEN INC. (OTCM:TGEN)"/>
    <x v="1"/>
    <s v="Machinery, Equipment &amp; Components"/>
    <n v="59640624"/>
    <n v="2.4"/>
    <n v="3.0043E-2"/>
    <n v="-4.1670000000000006E-3"/>
    <n v="3.4"/>
    <n v="0.58499999999999996"/>
    <n v="132687"/>
    <n v="247450"/>
    <n v="24850260"/>
    <n v="0"/>
    <n v="2000"/>
    <s v="OTC Markets"/>
    <s v="45 1st Ave, WALTHAM, MA, 02451-1105 US"/>
    <s v="US"/>
  </r>
  <r>
    <s v="MGO GLOBAL INC. (XNAS:HMR)"/>
    <x v="2"/>
    <s v="Media &amp; Publishing"/>
    <n v="171960468"/>
    <n v="3.03"/>
    <n v="0"/>
    <s v="#FIELD!"/>
    <n v="18.3"/>
    <n v="0.1"/>
    <n v="4830541"/>
    <n v="214384520"/>
    <n v="56752630"/>
    <s v="#FIELD!"/>
    <n v="2021"/>
    <s v="Nasdaq Stock Market"/>
    <s v="813 Ne 17Th Terrace,, Unit A, FORT LAUDERDALE, FL, 33304 US"/>
    <m/>
  </r>
  <r>
    <s v="Taiwan Semiconductor Manufacturing Co., Ltd. (XTAI:2330)"/>
    <x v="3"/>
    <s v="Semiconductors &amp; Semiconductor Equipment"/>
    <n v="26451390000000"/>
    <n v="1005"/>
    <n v="0"/>
    <s v="#FIELD!"/>
    <n v="1160"/>
    <n v="711"/>
    <n v="50358724"/>
    <n v="47217110"/>
    <n v="25932730000"/>
    <n v="22.21"/>
    <n v="1987"/>
    <s v="Taiwan Stock Exchange"/>
    <s v="No.8, Li-Hsin 6th Road, Hsinchu Science Park, HSINCHU, HSINCHU, 300 TW"/>
    <m/>
  </r>
  <r>
    <s v="FLYEXCLUSIVE INC. (XNYS:FLYX)"/>
    <x v="4"/>
    <s v="Passenger Transportation Services"/>
    <n v="260562200"/>
    <n v="3.335"/>
    <n v="-4.4779999999999993E-3"/>
    <n v="-4.9474999999999998E-2"/>
    <n v="24.21"/>
    <n v="1.79"/>
    <n v="5267"/>
    <n v="34596"/>
    <n v="78129590"/>
    <s v="#FIELD!"/>
    <n v="2021"/>
    <s v="New York Stock Exchange"/>
    <s v="375 Park Avenue, 24th Floor, NEW YORK, NY, 10152 US"/>
    <m/>
  </r>
  <r>
    <s v="ASML Holding NV (XAMS:ASML)"/>
    <x v="5"/>
    <s v="Semiconductors &amp; Semiconductor Equipment"/>
    <n v="262291300000"/>
    <n v="666"/>
    <n v="-5.9699999999999996E-3"/>
    <s v="#FIELD!"/>
    <n v="1021.8"/>
    <n v="605.70000000000005"/>
    <n v="746863"/>
    <n v="924920"/>
    <n v="393830700"/>
    <n v="34.601900000000001"/>
    <n v="1994"/>
    <s v="Euronext Amsterdam"/>
    <s v="De Run 6501, VELDHOVEN, NOORD-BRABANT, 5504 DR NL"/>
    <m/>
  </r>
  <r>
    <s v="NIKE, INC. (XFRA:NKE)"/>
    <x v="6"/>
    <s v="Textiles &amp; Apparel"/>
    <n v="116244600000"/>
    <n v="71.08"/>
    <n v="-1.4419999999999999E-2"/>
    <s v="#FIELD!"/>
    <s v="#FIELD!"/>
    <s v="#FIELD!"/>
    <n v="912"/>
    <n v="13286350"/>
    <n v="1479127000"/>
    <n v="23.2288"/>
    <n v="1969"/>
    <s v="Deutsche Boerse AG"/>
    <s v="One Bowerman Dr, BEAVERTON, OR, 97005-6453 US"/>
    <m/>
  </r>
  <r>
    <s v="G CITY LTD (XTAE:GCT)"/>
    <x v="7"/>
    <s v="Real Estate Operations"/>
    <n v="2349457000"/>
    <n v="1160"/>
    <n v="-1.6115000000000001E-2"/>
    <s v="#FIELD!"/>
    <n v="3783"/>
    <n v="845.8"/>
    <n v="433908"/>
    <n v="399000"/>
    <n v="199275400"/>
    <s v="#FIELD!"/>
    <n v="1982"/>
    <s v="Tel Aviv Stock Exchange"/>
    <s v="Aharon Becker 8, TEL AVIV-YAFO, 6964316 IL"/>
    <s v="IL"/>
  </r>
  <r>
    <s v="Kraken Robotics Inc. (OTCM:KRKNF)"/>
    <x v="8"/>
    <s v="Aerospace &amp; Defense"/>
    <n v="601762400"/>
    <n v="1.573"/>
    <n v="-1.6875000000000001E-2"/>
    <n v="-5.1209999999999997E-3"/>
    <n v="2.12"/>
    <n v="0.68"/>
    <n v="219464"/>
    <n v="1208580"/>
    <n v="262778400"/>
    <n v="52.0154"/>
    <n v="2015"/>
    <s v="OTC Markets"/>
    <s v="189 Glencoe Dr, MOUNT PEARL, NL, A1N 4P6 CA"/>
    <s v="CA"/>
  </r>
  <r>
    <s v="DIGI POWER X INC. (XTSX:DGX)"/>
    <x v="9"/>
    <s v="Financial Technology (Fintech) &amp; Infrastructure"/>
    <n v="71730471"/>
    <n v="1.94"/>
    <n v="-5.3658999999999998E-2"/>
    <s v="#FIELD!"/>
    <n v="5.42"/>
    <n v="1.35"/>
    <n v="7264"/>
    <n v="32020"/>
    <n v="36974470"/>
    <s v="#FIELD!"/>
    <n v="2017"/>
    <s v="TSX Venture Exchange"/>
    <s v="110 Yonge Street, Suite 1601, TORONTO, ON, M5C 1T4 CA"/>
    <s v="CA"/>
  </r>
  <r>
    <s v="JET.AI INC. (XNAS:JTAI)"/>
    <x v="10"/>
    <s v="Software &amp; IT Services"/>
    <n v="6638230"/>
    <n v="5.0999999999999996"/>
    <n v="-6.5933999999999993E-2"/>
    <n v="-1.3725000000000001E-2"/>
    <n v="315"/>
    <n v="2.2999999999999998"/>
    <n v="237760"/>
    <n v="11746962"/>
    <n v="1301610"/>
    <n v="0"/>
    <n v="2023"/>
    <s v="Nasdaq Stock Market"/>
    <s v="10845 Griffith Peak Dr., Suite 200, LAS VEGAS, NV, 89135 US"/>
    <s v="US"/>
  </r>
  <r>
    <s v="BRAND ENGAGEMENT NETWORK INC. (XNAS:BNAI)"/>
    <x v="11"/>
    <s v="Software &amp; IT Services"/>
    <n v="13617501"/>
    <n v="0.35899999999999999"/>
    <n v="-1.1019000000000001E-2"/>
    <n v="-4.9861000000000003E-2"/>
    <n v="19.75"/>
    <n v="0.30299999999999999"/>
    <n v="482275"/>
    <n v="10027164"/>
    <n v="37931760"/>
    <n v="0"/>
    <n v="2024"/>
    <s v="Nasdaq Stock Market"/>
    <s v="145 E. Snow King Ave, Po Box 1045, JACKSON, WY, 83001 US"/>
    <s v="US"/>
  </r>
  <r>
    <s v="EXODUS MOVEMENT, INC. (XNYS:EXOD)"/>
    <x v="12"/>
    <s v="Software &amp; IT Services"/>
    <n v="840799300"/>
    <n v="29.4"/>
    <n v="3.4129999999999998E-3"/>
    <n v="2.1190000000000002E-3"/>
    <n v="117.3985"/>
    <n v="6.25"/>
    <n v="70586"/>
    <n v="71637"/>
    <n v="28598610"/>
    <s v="#FIELD!"/>
    <n v="2016"/>
    <s v="New York Stock Exchange"/>
    <s v="15418 Weir St., #333, OMAHA, NE, 68137 US"/>
    <s v="US"/>
  </r>
  <r>
    <s v="GROVE COLLABORATIVE HOLDINGS, INC. (XNYS:GROV)"/>
    <x v="13"/>
    <s v="Software &amp; IT Services"/>
    <n v="64536810"/>
    <n v="1.64"/>
    <n v="1.2345999999999999E-2"/>
    <n v="0"/>
    <n v="2.2418"/>
    <n v="1.1850000000000001"/>
    <n v="51854"/>
    <n v="110429"/>
    <n v="39351720"/>
    <s v="#FIELD!"/>
    <n v="2022"/>
    <s v="New York Stock Exchange"/>
    <s v="1301 Sansome Street, SAN FRANCISCO, CA, 94111 US"/>
    <s v="US"/>
  </r>
  <r>
    <s v="SOLAREDGE TECHNOLOGIES, INC. (XNAS:SEDG)"/>
    <x v="14"/>
    <s v="Renewable Energy"/>
    <n v="990485462"/>
    <n v="16.850000000000001"/>
    <n v="5.1810000000000002E-2"/>
    <n v="2.967E-3"/>
    <n v="78.405000000000001"/>
    <n v="10.24"/>
    <n v="4158665"/>
    <n v="4903376"/>
    <n v="58782520"/>
    <n v="0"/>
    <n v="2006"/>
    <s v="Nasdaq Stock Market"/>
    <s v="1 HaMada St., POB 12001, HERZLIYA, 4672505 IL"/>
    <s v="IL"/>
  </r>
  <r>
    <s v="Globavend Holdings Ltd (XNAS:GVH)"/>
    <x v="15"/>
    <s v="Freight &amp; Logistics Services"/>
    <n v="10153160"/>
    <n v="0.68"/>
    <n v="-4.2253999999999993E-2"/>
    <n v="1.0294000000000001E-2"/>
    <n v="2.57"/>
    <n v="0.47070000000000001"/>
    <n v="7427"/>
    <n v="38999"/>
    <n v="14931120"/>
    <n v="7.3913000000000002"/>
    <n v="2023"/>
    <s v="Nasdaq Stock Market"/>
    <s v="Office 1401, Level 14, 197 St Georges Tce, PERTH, WESTERN AUSTRALIA, 6000 AU"/>
    <s v="AU"/>
  </r>
  <r>
    <s v="FIREFLY NEUROSCIENCE, INC. (XNAS:AIFF)"/>
    <x v="16"/>
    <s v="Software &amp; IT Services"/>
    <n v="27094086"/>
    <n v="3.41"/>
    <n v="-0.12113400000000001"/>
    <n v="1.7595E-2"/>
    <n v="17.2"/>
    <n v="1.86"/>
    <n v="851448"/>
    <n v="14950602"/>
    <n v="7945480"/>
    <n v="0"/>
    <n v="2021"/>
    <s v="Nasdaq Stock Market"/>
    <s v="1100 Military Road, KENMORE, NY, 14217 US"/>
    <s v="US"/>
  </r>
  <r>
    <s v="BAKKT HOLDINGS, INC. (XNYS:BKKT)"/>
    <x v="17"/>
    <s v="Financial Technology (Fintech) &amp; Infrastructure"/>
    <n v="193449300"/>
    <n v="14.1"/>
    <n v="-4.6007999999999993E-2"/>
    <n v="-7.0670000000000003E-6"/>
    <n v="37.21"/>
    <n v="5.5731999999999999"/>
    <n v="350905"/>
    <n v="407817"/>
    <n v="13671330"/>
    <s v="#FIELD!"/>
    <n v="2021"/>
    <s v="New York Stock Exchange"/>
    <s v="10000 Avalon Boulevard, Suite 1000, ALPHARETTA, GA, 30009 US"/>
    <s v="US"/>
  </r>
  <r>
    <s v="CELSIUS HOLDINGS, INC. (XNAS:CELH)"/>
    <x v="18"/>
    <s v="Beverages"/>
    <n v="6440204000"/>
    <n v="27.39"/>
    <n v="7.7497999999999997E-2"/>
    <n v="-1.825E-3"/>
    <n v="99.619900000000001"/>
    <n v="21.1"/>
    <n v="7847470"/>
    <n v="13199092"/>
    <n v="235129700"/>
    <n v="61.138399999999997"/>
    <n v="2005"/>
    <s v="Nasdaq Stock Market"/>
    <s v="2424 N. Federal Hwy, Suite 208, BOCA RATON, FL, 33431 US"/>
    <s v="US"/>
  </r>
  <r>
    <s v="BLUE HAT INTERACTIVE ENTERTAINMENT TECHNOLOGY (XNAS:BHAT)"/>
    <x v="19"/>
    <s v="Leisure Products"/>
    <n v="18370141"/>
    <n v="3.7199999999999997E-2"/>
    <n v="1.9178000000000001E-2"/>
    <n v="-5.3490000000000005E-3"/>
    <n v="1.45"/>
    <n v="3.1600000000000003E-2"/>
    <n v="18300564"/>
    <n v="167605515"/>
    <n v="493821000"/>
    <n v="0"/>
    <n v="2018"/>
    <s v="Nasdaq Stock Market"/>
    <s v="7Th Floor, Building C, No. 1010,, Anling Road, XIAMEN, FUJIAN CN"/>
    <s v="CN"/>
  </r>
  <r>
    <s v="GENWORTH FINANCIAL, INC. (XNYS:GNW)"/>
    <x v="20"/>
    <s v="Insurance"/>
    <n v="2789543000"/>
    <n v="6.6550000000000002"/>
    <n v="2.2589999999999997E-3"/>
    <n v="-7.5079999999999999E-3"/>
    <n v="7.9"/>
    <n v="5.67"/>
    <n v="6266842"/>
    <n v="5038786"/>
    <n v="418850300"/>
    <n v="9.5480999999999998"/>
    <n v="2012"/>
    <s v="New York Stock Exchange"/>
    <s v="11011 WEST BROAD STREET, GLEN ALLEN, VA, 23060 US"/>
    <m/>
  </r>
  <r>
    <s v="SWEETGREEN, INC. (XNYS:SG)"/>
    <x v="21"/>
    <s v="Hotels &amp; Entertainment Services"/>
    <n v="2808239000"/>
    <n v="23.93"/>
    <n v="1.6567999999999999E-2"/>
    <n v="1.2948999999999999E-2"/>
    <n v="45.12"/>
    <n v="18.440000000000001"/>
    <n v="5905515"/>
    <n v="4413631"/>
    <n v="117303200"/>
    <s v="#FIELD!"/>
    <n v="2007"/>
    <s v="New York Stock Exchange"/>
    <s v="3101 W. Exposition Boulevard, LOS ANGELES, CA, 90018 US"/>
    <s v="US"/>
  </r>
  <r>
    <s v="Spotify Technology SA (XNYS:SPOT)"/>
    <x v="22"/>
    <s v="Software &amp; IT Services"/>
    <n v="108924600000"/>
    <n v="531.71"/>
    <n v="-2.1530999999999998E-2"/>
    <n v="-8.7770000000000001E-3"/>
    <n v="652.62789999999995"/>
    <n v="249.58"/>
    <n v="3827023"/>
    <n v="2445067"/>
    <n v="204707100"/>
    <n v="93.525300000000001"/>
    <n v="2007"/>
    <s v="New York Stock Exchange"/>
    <s v="5 Place De La Gare, LUXEMBOURG, 1616 LU"/>
    <m/>
  </r>
  <r>
    <s v="TSS, INC. (XNAS:TSSI)"/>
    <x v="23"/>
    <s v="Professional &amp; Commercial Services"/>
    <n v="213490400"/>
    <n v="9.5"/>
    <n v="8.0774000000000012E-2"/>
    <n v="-4.3158000000000002E-2"/>
    <n v="18.260000000000002"/>
    <n v="0.43020000000000003"/>
    <n v="1114184"/>
    <n v="1254406"/>
    <n v="22472680"/>
    <n v="47.523800000000001"/>
    <n v="2004"/>
    <s v="Nasdaq Stock Market"/>
    <s v="110 E Old Settlers Blvd Ste 100, ROUND ROCK, TX, 78664-2632 US"/>
    <s v="US"/>
  </r>
  <r>
    <s v="DLH HOLDINGS CORP. (XNAS:DLHC)"/>
    <x v="24"/>
    <s v="Software &amp; IT Services"/>
    <n v="75097373"/>
    <n v="5.22"/>
    <n v="7.1869000000000002E-2"/>
    <n v="0"/>
    <n v="15.1"/>
    <n v="4.7350000000000003"/>
    <n v="43489"/>
    <n v="54033"/>
    <n v="14386470"/>
    <n v="11.9162"/>
    <n v="1969"/>
    <s v="Nasdaq Stock Market"/>
    <s v="3565 Piedmont Road, Ne, Building 3, Suite 700, ATLANTA, GA, 30305 US"/>
    <s v="US"/>
  </r>
  <r>
    <s v="AIRSHIP AI HOLDINGS, INC. (XNAS:AISP)"/>
    <x v="25"/>
    <s v="Software &amp; IT Services"/>
    <n v="110963900"/>
    <n v="3.4950000000000001"/>
    <n v="6.2309999999999997E-2"/>
    <n v="1.0014E-2"/>
    <n v="14.3188"/>
    <n v="1.9"/>
    <n v="828235"/>
    <n v="1922121"/>
    <n v="31749320"/>
    <n v="0"/>
    <n v="2023"/>
    <s v="Nasdaq Stock Market"/>
    <s v="8210 154Th Ave Ne, REDMOND, WA, 98052 US"/>
    <s v="US"/>
  </r>
  <r>
    <s v="AUTHID INC. (XNAS:AUID)"/>
    <x v="26"/>
    <s v="Software &amp; IT Services"/>
    <n v="55805850"/>
    <n v="5.1100000000000003"/>
    <n v="5.144E-2"/>
    <n v="0"/>
    <n v="12.309900000000001"/>
    <n v="4.1501000000000001"/>
    <n v="56117"/>
    <n v="37332"/>
    <n v="10920910"/>
    <n v="0"/>
    <n v="2011"/>
    <s v="Nasdaq Stock Market"/>
    <s v="1580 N. Logan St., Ste 660, Unit 51767, DENVER, CO, 80203 US"/>
    <s v="US"/>
  </r>
  <r>
    <s v="Global Mofy AI Limited (XNAS:GMM)"/>
    <x v="27"/>
    <s v="Software &amp; IT Services"/>
    <n v="58689065"/>
    <n v="3.52"/>
    <n v="1.7340999999999999E-2"/>
    <n v="2.8410000000000002E-3"/>
    <n v="45.75"/>
    <n v="3.01"/>
    <n v="30568"/>
    <n v="46395"/>
    <n v="16673030"/>
    <n v="0.54310000000000003"/>
    <n v="2021"/>
    <s v="Nasdaq Stock Market"/>
    <s v="No. 102, 1St Floor, No. A12, Xidian Memory Cultural And Creative Town, BEIJING, BEIJING, 225300 CN"/>
    <s v="CN"/>
  </r>
  <r>
    <s v="WISeKey International Holding Ltd (XNAS:WKEY)"/>
    <x v="28"/>
    <s v="Semiconductors &amp; Semiconductor Equipment"/>
    <n v="38230470"/>
    <n v="4.99"/>
    <n v="4.1753999999999999E-2"/>
    <n v="-1.8036E-2"/>
    <n v="14"/>
    <n v="1.61"/>
    <n v="402848"/>
    <n v="318812"/>
    <n v="8161090"/>
    <n v="0"/>
    <n v="2015"/>
    <s v="Nasdaq Stock Market"/>
    <s v="General-Guisan-Strasse 6, ZUG, ZUG, 6300 CH"/>
    <s v="CH"/>
  </r>
  <r>
    <s v="SUPER MICRO COMPUTER, INC. (XNAS:SMCI)"/>
    <x v="29"/>
    <s v="Computers, Phones &amp; Household Electronics"/>
    <n v="22694730000"/>
    <n v="38.24"/>
    <n v="3.2119000000000002E-2"/>
    <n v="-3.679E-3"/>
    <n v="122.9"/>
    <n v="17.25"/>
    <n v="59173963"/>
    <n v="111690804"/>
    <n v="593481300"/>
    <n v="16.7272"/>
    <n v="2006"/>
    <s v="Nasdaq Stock Market"/>
    <s v="980 Rock Avenue, SAN JOSE, CA, 95131 US"/>
    <m/>
  </r>
  <r>
    <s v="OneStream, Inc. (XNAS:OS)"/>
    <x v="30"/>
    <s v="Software &amp; IT Services"/>
    <n v="5568754000"/>
    <n v="23.33"/>
    <n v="2.0114E-2"/>
    <n v="-1.4145000000000001E-2"/>
    <n v="35.39"/>
    <n v="21.69"/>
    <n v="2216222"/>
    <n v="1929753"/>
    <n v="238695000"/>
    <n v="0"/>
    <n v="2021"/>
    <s v="Nasdaq Stock Market"/>
    <s v="362 South Street, ROCHESTER, MI, 48307 US"/>
    <s v="US"/>
  </r>
  <r>
    <s v="VIASAT, INC. (XNAS:VSAT)"/>
    <x v="31"/>
    <s v="Communications &amp; Networking"/>
    <n v="1256338000"/>
    <n v="9.73"/>
    <n v="1.8848E-2"/>
    <n v="-3.0830000000000002E-3"/>
    <n v="26.7"/>
    <n v="6.69"/>
    <n v="3062266"/>
    <n v="4094515"/>
    <n v="129120000"/>
    <n v="0"/>
    <n v="1996"/>
    <s v="Nasdaq Stock Market"/>
    <s v="6155 El Camino Real, CARLSBAD, CA, 92009 US"/>
    <s v="US"/>
  </r>
  <r>
    <s v="EOS ENERGY ENTERPRISES, INC. (XNAS:EOSE)"/>
    <x v="32"/>
    <s v="Machinery, Equipment &amp; Components"/>
    <n v="1042357000"/>
    <n v="4.5999999999999996"/>
    <n v="1.5453E-2"/>
    <n v="-2.1740000000000002E-3"/>
    <n v="6.64"/>
    <n v="0.61"/>
    <n v="5707530"/>
    <n v="6790276"/>
    <n v="226599300"/>
    <n v="0"/>
    <n v="1970"/>
    <s v="Nasdaq Stock Market"/>
    <s v="3920 Park Avenue, EDISON, NJ, 08820 US"/>
    <s v="US"/>
  </r>
  <r>
    <s v="AEVA TECHNOLOGIES, INC. (XNAS:AEVA)"/>
    <x v="33"/>
    <s v="Communications &amp; Networking"/>
    <n v="168653200"/>
    <n v="3.13"/>
    <n v="1.2945E-2"/>
    <n v="2.2109E-2"/>
    <n v="7.25"/>
    <n v="2.2006999999999999"/>
    <n v="445641"/>
    <n v="326014"/>
    <n v="53882800"/>
    <n v="0"/>
    <n v="2019"/>
    <s v="Nasdaq Stock Market"/>
    <s v="555 Ellis Street, MOUNTAIN VIEW, CA, 94043 US"/>
    <s v="US"/>
  </r>
  <r>
    <s v="Intelligent Group Limited (XNAS:INTJ)"/>
    <x v="34"/>
    <s v="Media &amp; Publishing"/>
    <n v="9415080"/>
    <n v="0.80900000000000005"/>
    <n v="1.0366E-2"/>
    <n v="-9.8790000000000011E-4"/>
    <n v="7.87"/>
    <n v="0.71719999999999995"/>
    <n v="4064"/>
    <n v="72131"/>
    <n v="11625000"/>
    <n v="17.472999999999999"/>
    <n v="2018"/>
    <s v="Nasdaq Stock Market"/>
    <s v="Unit 2803, Level 28, Admiralty Centre, Tower 1, 18 Harcourt Road, Admiralty HK"/>
    <s v="HK"/>
  </r>
  <r>
    <s v="NISUN INTERNATIONAL ENTERPRISE DEVELOPMENT GROUP CO., LTD (XNAS:NISN)"/>
    <x v="35"/>
    <s v="Financial Technology (Fintech) &amp; Infrastructure"/>
    <n v="32658443"/>
    <n v="7.02"/>
    <n v="5.5639000000000001E-2"/>
    <n v="0"/>
    <n v="22.55"/>
    <n v="3.1423000000000001"/>
    <n v="23374"/>
    <n v="54632"/>
    <n v="4652200"/>
    <n v="1.5857000000000001"/>
    <n v="2012"/>
    <s v="Nasdaq Stock Market"/>
    <s v="21F, 55 Loushanguan Rd, Changning District, SHANGHAI, SHANGHAI, 200336 CN"/>
    <s v="CN"/>
  </r>
  <r>
    <s v="MAGIC SOFTWARE ENTERPRISES LTD. (XNAS:MGIC)"/>
    <x v="36"/>
    <s v="Software &amp; IT Services"/>
    <n v="2128763000"/>
    <n v="11.9"/>
    <n v="5.0680000000000005E-3"/>
    <n v="0"/>
    <n v="13.46"/>
    <n v="9.51"/>
    <n v="32397"/>
    <n v="36989"/>
    <n v="49099310"/>
    <n v="15.7783"/>
    <n v="1983"/>
    <s v="Nasdaq Stock Market"/>
    <s v="Yaadut Canada 1 str; Terminal Center, OR YEHUDA, 6037501 IL"/>
    <s v="IL"/>
  </r>
  <r>
    <s v="NERDWALLET, INC. (XNAS:NRDS)"/>
    <x v="37"/>
    <s v="Banking Services"/>
    <n v="696613602"/>
    <n v="9.4"/>
    <n v="0"/>
    <n v="2.1279999999999997E-3"/>
    <n v="16.5"/>
    <n v="9.0749999999999993"/>
    <n v="501905"/>
    <n v="772698"/>
    <n v="74107830"/>
    <n v="26.087"/>
    <n v="2010"/>
    <s v="Nasdaq Stock Market"/>
    <s v="55 Hawthorne Street, 10Th Floor, SAN FRANCISCO, CA, 94105 US"/>
    <s v="US"/>
  </r>
  <r>
    <s v="ICAD, INC. (XNAS:ICAD)"/>
    <x v="38"/>
    <s v="Healthcare Equipment &amp; Supplies"/>
    <n v="59449667"/>
    <n v="2.2400000000000002"/>
    <n v="0"/>
    <n v="-4.509E-3"/>
    <n v="3.78"/>
    <n v="1.18"/>
    <n v="274163"/>
    <n v="521384"/>
    <n v="26540030"/>
    <n v="0"/>
    <n v="1984"/>
    <s v="Nasdaq Stock Market"/>
    <s v="98 Spit Brook Rd Ste 100, NASHUA, NH, 03062-5737 US"/>
    <s v="US"/>
  </r>
  <r>
    <s v="AIRBNB, INC. (XNAS:ABNB)"/>
    <x v="39"/>
    <s v="Software &amp; IT Services"/>
    <n v="84738216843"/>
    <n v="134.38999999999999"/>
    <n v="-2.8199999999999996E-3"/>
    <n v="-1.429E-4"/>
    <n v="170.1"/>
    <n v="110.38"/>
    <n v="5616851"/>
    <n v="5837920"/>
    <n v="630539600"/>
    <n v="32.718000000000004"/>
    <n v="2008"/>
    <s v="Nasdaq Stock Market"/>
    <s v="888 Brannan St., SAN FRANCISCO, CA, 94103 US"/>
    <s v="US"/>
  </r>
  <r>
    <s v="BitFuFu Inc (XNAS:FUFU)"/>
    <x v="40"/>
    <s v="Financial Technology (Fintech) &amp; Infrastructure"/>
    <n v="770527700"/>
    <n v="4.7300000000000004"/>
    <n v="-1.2525999999999999E-2"/>
    <n v="0"/>
    <n v="8.6699000000000002"/>
    <n v="2.3199999999999998"/>
    <n v="80643"/>
    <n v="139914"/>
    <n v="162902300"/>
    <n v="20.8278"/>
    <n v="2022"/>
    <s v="Nasdaq Stock Market"/>
    <s v="111 North Bridge Road, #15-01, 179098 SG"/>
    <s v="SG"/>
  </r>
  <r>
    <s v="MIND C.T.I. LTD (XNAS:MNDO)"/>
    <x v="41"/>
    <s v="Software &amp; IT Services"/>
    <n v="40766478"/>
    <n v="2.0099999999999998"/>
    <n v="-7.4070000000000004E-3"/>
    <n v="4.9750000000000003E-3"/>
    <n v="2.2799999999999998"/>
    <n v="1.7000999999999999"/>
    <n v="31528"/>
    <n v="50926"/>
    <n v="20281830"/>
    <n v="9.0241000000000007"/>
    <n v="1995"/>
    <s v="Nasdaq Stock Market"/>
    <s v="2 HaCarmel St., YOKNEAM, 2069202 IL"/>
    <s v="IL"/>
  </r>
  <r>
    <s v="LIGHTPATH TECHNOLOGIES, INC. (XNAS:LPTH)"/>
    <x v="42"/>
    <s v="Office Equipment"/>
    <n v="89458250"/>
    <n v="2.19"/>
    <n v="-3.5242000000000002E-2"/>
    <n v="4.5659999999999997E-3"/>
    <n v="4.42"/>
    <n v="1.04"/>
    <n v="181730"/>
    <n v="338159"/>
    <n v="40848520"/>
    <n v="0"/>
    <n v="1992"/>
    <s v="Nasdaq Stock Market"/>
    <s v="SUITE 100, 2603 CHALLENGER TECH CT, ORLANDO, FL, 32826 US"/>
    <s v="US"/>
  </r>
  <r>
    <s v="EXPENSIFY, INC. (XNAS:EXFY)"/>
    <x v="43"/>
    <s v="Software &amp; IT Services"/>
    <n v="324514517"/>
    <n v="3.55"/>
    <n v="-5.3333000000000005E-2"/>
    <n v="-1.4085E-2"/>
    <n v="4.13"/>
    <n v="1.24"/>
    <n v="491013"/>
    <n v="498471"/>
    <n v="91412540"/>
    <n v="0"/>
    <n v="2009"/>
    <s v="Nasdaq Stock Market"/>
    <s v="401 Sw 5Th Avenue, PORTLAND, OR, 97204 US"/>
    <s v="US"/>
  </r>
  <r>
    <s v="VERIFYME, INC. (XNAS:VRME)"/>
    <x v="44"/>
    <s v="Software &amp; IT Services"/>
    <n v="9016510"/>
    <n v="0.7298"/>
    <n v="-6.4958000000000002E-2"/>
    <n v="4.1380999999999994E-2"/>
    <n v="5"/>
    <n v="0.57840000000000003"/>
    <n v="800987"/>
    <n v="748662"/>
    <n v="12354770"/>
    <n v="0"/>
    <n v="1999"/>
    <s v="Nasdaq Stock Market"/>
    <s v="801 INTERNATIONAL PARKWAY, FIFTH FLOOR, LAKE MARY, FL, 32746 US"/>
    <s v="US"/>
  </r>
  <r>
    <s v="BigBear.ai Holdings, Inc. (XNYS:BBAI)"/>
    <x v="45"/>
    <s v="Software &amp; IT Services"/>
    <n v="840191700"/>
    <n v="3.37"/>
    <n v="-0.19761900000000002"/>
    <n v="5.9880000000000003E-3"/>
    <n v="10.36"/>
    <n v="1.165"/>
    <n v="78654641"/>
    <n v="86258709"/>
    <n v="251554400"/>
    <s v="#FIELD!"/>
    <n v="2020"/>
    <s v="New York Stock Exchange"/>
    <s v="7950 Jones Branch Drive, MCLEAN, VA, 22102 US"/>
    <s v="US"/>
  </r>
  <r>
    <s v="TRUMP MEDIA &amp; TECHNOLOGY GROUP CORP. (XNAS:DJT)"/>
    <x v="46"/>
    <s v="Software &amp; IT Services"/>
    <n v="4951471000"/>
    <n v="22.5"/>
    <n v="2.3658000000000002E-2"/>
    <n v="0"/>
    <n v="79.38"/>
    <n v="11.75"/>
    <n v="2541896"/>
    <n v="4302200"/>
    <n v="220065400"/>
    <n v="0"/>
    <n v="2020"/>
    <s v="Nasdaq Stock Market"/>
    <s v="401 N. Cattlemen Rd., Ste. 200, SARASOTA, FL, 34232 US"/>
    <s v="US"/>
  </r>
  <r>
    <s v="REDDIT INC. (XNYS:RDDT)"/>
    <x v="47"/>
    <s v="Software &amp; IT Services"/>
    <n v="24237560000"/>
    <n v="133.97999999999999"/>
    <n v="-0.111067"/>
    <n v="-1.194E-3"/>
    <n v="230.41"/>
    <n v="37.35"/>
    <n v="13834948"/>
    <n v="7079252"/>
    <n v="180904300"/>
    <s v="#FIELD!"/>
    <n v="2011"/>
    <s v="New York Stock Exchange"/>
    <s v="303 2Nd Street, South Tower, 5Th Floor, SAN FRANCISCO, CA, 94104 US"/>
    <s v="US"/>
  </r>
  <r>
    <s v="T-MOBILE US, INC. (XNAS:TMUS)"/>
    <x v="48"/>
    <s v="Telecommunications Services"/>
    <n v="302836443800"/>
    <n v="265.24"/>
    <n v="8.7089999999999997E-3"/>
    <n v="-9.4249999999999998E-4"/>
    <n v="276.49"/>
    <n v="158.84"/>
    <n v="3289848"/>
    <n v="3815100"/>
    <n v="1141745000"/>
    <n v="27.1968"/>
    <n v="2004"/>
    <s v="Nasdaq Stock Market"/>
    <s v="12920 Se 38Th Street, BELLEVUE, WA, 98006 US"/>
    <m/>
  </r>
  <r>
    <s v="TESLA, INC. (XNAS:TSLA)"/>
    <x v="49"/>
    <s v="Automobiles &amp; Auto Parts"/>
    <n v="844882500000"/>
    <n v="262.67"/>
    <n v="-2.9609999999999997E-3"/>
    <n v="-8.7560000000000003E-4"/>
    <n v="488.53989999999999"/>
    <n v="138.80250000000001"/>
    <n v="102369640"/>
    <n v="87952145"/>
    <n v="3216517000"/>
    <n v="129.34379999999999"/>
    <n v="2024"/>
    <s v="Nasdaq Stock Market"/>
    <s v="1 Tesla Road, AUSTIN, TX, 78725 US"/>
    <s v="US"/>
  </r>
  <r>
    <s v="MICROSOFT CORPORATION (XNAS:MSFT)"/>
    <x v="50"/>
    <s v="Software &amp; IT Services"/>
    <n v="2923860000000"/>
    <n v="393.31"/>
    <n v="-9.0200000000000002E-3"/>
    <n v="-1.9070000000000001E-3"/>
    <n v="468.35"/>
    <n v="381"/>
    <n v="22034087"/>
    <n v="24814655"/>
    <n v="7433982000"/>
    <n v="31.681799999999999"/>
    <n v="1993"/>
    <s v="Nasdaq Stock Market"/>
    <s v="One Microsoft Way, REDMOND, WA, 98052-6399 US"/>
    <m/>
  </r>
  <r>
    <s v="ADVANCED MICRO DEVICES, INC. (XNAS:AMD)"/>
    <x v="51"/>
    <s v="Semiconductors &amp; Semiconductor Equipment"/>
    <n v="162550100000"/>
    <n v="100.31"/>
    <n v="1.477E-2"/>
    <n v="-1.9940000000000001E-3"/>
    <n v="227.3"/>
    <n v="95.89"/>
    <n v="33254367"/>
    <n v="40760835"/>
    <n v="1620478000"/>
    <n v="99.99"/>
    <n v="1969"/>
    <s v="Nasdaq Stock Market"/>
    <s v="2485 Augustine Drive, SANTA CLARA, CA, 95054 US"/>
    <m/>
  </r>
  <r>
    <s v="AMAZON.COM, INC. (XNAS:AMZN)"/>
    <x v="52"/>
    <s v="Diversified Retail"/>
    <n v="2111598000000"/>
    <n v="199.25"/>
    <n v="-7.2250000000000005E-3"/>
    <n v="-1.0040000000000001E-3"/>
    <n v="242.52"/>
    <n v="151.61000000000001"/>
    <n v="59802821"/>
    <n v="41767076"/>
    <n v="10597730000"/>
    <n v="36.081000000000003"/>
    <n v="1996"/>
    <s v="Nasdaq Stock Market"/>
    <s v="410 Terry Avenue North, SEATTLE, WA, 98109 US"/>
    <s v="US"/>
  </r>
  <r>
    <s v="NVIDIA CORPORATION (XNAS:NVDA)"/>
    <x v="53"/>
    <s v="Semiconductors &amp; Semiconductor Equipment"/>
    <n v="2749636000000"/>
    <n v="112.69"/>
    <n v="1.9172999999999999E-2"/>
    <n v="-4.7920000000000003E-3"/>
    <n v="153.13"/>
    <n v="75.605999999999995"/>
    <n v="341755468"/>
    <n v="278178921"/>
    <n v="24400000000"/>
    <n v="38.336500000000001"/>
    <n v="1998"/>
    <s v="Nasdaq Stock Market"/>
    <s v="2788 San Tomas Expressway, SANTA CLARA, CA, 95051 US"/>
    <s v="US"/>
  </r>
  <r>
    <s v="NUSCALE POWER CORPORATION (XNYS:SMR)"/>
    <x v="54"/>
    <s v="Electrical Utilities &amp; IPPs"/>
    <n v="4414386000"/>
    <n v="15.63"/>
    <n v="-2.0063000000000001E-2"/>
    <n v="-2.5590000000000001E-3"/>
    <n v="32.299999999999997"/>
    <n v="3.79"/>
    <n v="11056370"/>
    <n v="11912500"/>
    <n v="282430300"/>
    <s v="#FIELD!"/>
    <n v="2022"/>
    <s v="New York Stock Exchange"/>
    <s v="1100 Ne Circle Blvd., Suite 200, CORVALLIS, OR, 97330 US"/>
    <s v="US"/>
  </r>
  <r>
    <s v="ARCHER AVIATION INC. (XNYS:ACHR)"/>
    <x v="55"/>
    <s v="Aerospace &amp; Defense"/>
    <n v="4079376000"/>
    <n v="7.52"/>
    <n v="-5.2910000000000006E-3"/>
    <n v="-2.673E-3"/>
    <n v="12.475"/>
    <n v="2.8206000000000002"/>
    <n v="24737318"/>
    <n v="34613305"/>
    <n v="542470300"/>
    <s v="#FIELD!"/>
    <n v="2020"/>
    <s v="New York Stock Exchange"/>
    <s v="190 West Tasman Drive, SAN JOSE, CA, 95134 US"/>
    <s v="US"/>
  </r>
  <r>
    <s v="SUPERCOM LTD (XNAS:SPCB)"/>
    <x v="56"/>
    <s v="Software &amp; IT Services"/>
    <n v="12149580"/>
    <n v="7.07"/>
    <n v="-6.2333999999999994E-2"/>
    <n v="5.7992000000000002E-2"/>
    <n v="18.95"/>
    <n v="2.5499999999999998"/>
    <n v="245296"/>
    <n v="314559"/>
    <n v="1718470"/>
    <n v="0"/>
    <n v="1988"/>
    <s v="Nasdaq Stock Market"/>
    <s v="3, Rothschild Blvd., TEL AVIV-YAFO, 6688106 IL"/>
    <s v="IL"/>
  </r>
  <r>
    <s v="CARVANA CO. (XNYS:CVNA)"/>
    <x v="57"/>
    <s v="Specialty Retailers"/>
    <n v="40179420000"/>
    <n v="188.57"/>
    <n v="9.2049999999999996E-3"/>
    <n v="-7.8000000000000005E-3"/>
    <n v="292.83999999999997"/>
    <n v="67.61"/>
    <n v="8350540"/>
    <n v="3998856"/>
    <n v="213187300"/>
    <n v="120.369"/>
    <n v="2016"/>
    <s v="New York Stock Exchange"/>
    <s v="300 E. Rio Salado Parkway, TEMPE, AZ, 85281 US"/>
    <s v="US"/>
  </r>
  <r>
    <s v="PALANTIR TECHNOLOGIES INC. (XNAS:PLTR)"/>
    <x v="58"/>
    <s v="Software &amp; IT Services"/>
    <n v="199058900000"/>
    <n v="84.903099999999995"/>
    <n v="5.5220999999999999E-2"/>
    <n v="-1.284E-4"/>
    <n v="125.41"/>
    <n v="20.329999999999998"/>
    <n v="105377101"/>
    <n v="117865988"/>
    <n v="2344352000"/>
    <n v="434.32049999999998"/>
    <n v="2003"/>
    <s v="Nasdaq Stock Market"/>
    <s v="1200 17Th Street, Floor 15, DENVER, CO, 80202 US"/>
    <s v="US"/>
  </r>
  <r>
    <s v="Xunlei Limited (XNAS:XNET)"/>
    <x v="59"/>
    <s v="Software &amp; IT Services"/>
    <n v="285264135"/>
    <n v="4.5"/>
    <n v="0.125"/>
    <n v="4.444E-3"/>
    <n v="4.8049999999999997"/>
    <n v="1.45"/>
    <n v="989810"/>
    <n v="2514288"/>
    <n v="63392030"/>
    <n v="17.5093"/>
    <n v="2005"/>
    <s v="Nasdaq Stock Market"/>
    <s v="3709 Baishi Road, Nanshan District, SHENZHEN, GUANGDONG, 518000 CN"/>
    <s v="CN"/>
  </r>
  <r>
    <s v="FUBOTV INC. (XNYS:FUBO)"/>
    <x v="60"/>
    <s v="Software &amp; IT Services"/>
    <n v="1085896000"/>
    <n v="3.1850000000000001"/>
    <n v="6.5216999999999997E-2"/>
    <n v="-6.2890000000000003E-3"/>
    <n v="6.45"/>
    <n v="1.1000000000000001"/>
    <n v="20577253"/>
    <n v="24934310"/>
    <n v="341476600"/>
    <s v="#FIELD!"/>
    <n v="2009"/>
    <s v="New York Stock Exchange"/>
    <s v="1290 AVENUE OF THE AMERICAS, NEW YORK, NEW YORK, NY, 10104 US"/>
    <s v="US"/>
  </r>
  <r>
    <s v="CPI AEROSTRUCTURES, INC. (XNYS:CVU)"/>
    <x v="61"/>
    <s v="Aerospace &amp; Defense"/>
    <n v="47452450"/>
    <n v="3.65"/>
    <n v="1.6712999999999999E-2"/>
    <n v="2.7397000000000001E-2"/>
    <n v="5.85"/>
    <n v="2.16"/>
    <n v="52447"/>
    <n v="69934"/>
    <n v="13000670"/>
    <n v="2.569"/>
    <n v="1980"/>
    <s v="New York Stock Exchange"/>
    <s v="200A Executive Dr, EDGEWOOD, NY, 11717 US"/>
    <s v="US"/>
  </r>
  <r>
    <s v="DATASEA INC. (XNAS:DTSS)"/>
    <x v="62"/>
    <s v="Software &amp; IT Services"/>
    <n v="16252000"/>
    <n v="2.17"/>
    <n v="3.3333000000000002E-2"/>
    <n v="0"/>
    <n v="9.7998999999999992"/>
    <n v="1.65"/>
    <n v="24365"/>
    <n v="100715"/>
    <n v="7489400"/>
    <n v="0"/>
    <n v="2014"/>
    <s v="Nasdaq Stock Market"/>
    <s v="1 Xinghuo Rd, Changning Bldg, Ste.11D2e, Fengtai District, BEIJING, BEIJING, 100070 CN"/>
    <s v="CN"/>
  </r>
  <r>
    <s v="KULR TECHNOLOGY GROUP, INC. (XNYS:KULR)"/>
    <x v="63"/>
    <s v="Machinery, Equipment &amp; Components"/>
    <n v="294312600"/>
    <n v="1.2350000000000001"/>
    <n v="5.5556000000000001E-2"/>
    <n v="0"/>
    <n v="5.49"/>
    <n v="0.13370000000000001"/>
    <n v="6651627"/>
    <n v="13984326"/>
    <n v="239278500"/>
    <s v="#FIELD!"/>
    <n v="2015"/>
    <s v="New York Stock Exchange"/>
    <s v="4863 SHAWLINE STREET, SAN DIEGO, CA, 92111 US"/>
    <s v="US"/>
  </r>
  <r>
    <s v="Gorilla Technology Group Inc. (XNAS:GRRR)"/>
    <x v="64"/>
    <s v="Software &amp; IT Services"/>
    <n v="524580706"/>
    <n v="28.41"/>
    <n v="-0.162194"/>
    <n v="-2.1471000000000001E-2"/>
    <n v="44.15"/>
    <n v="2.09"/>
    <n v="7492345"/>
    <n v="4473442"/>
    <n v="18464650"/>
    <n v="16.034700000000001"/>
    <s v="#FIELD!"/>
    <s v="Nasdaq Stock Market"/>
    <s v="Meridien House, 42 Upper Berkeley Street, Marble Arch, LONDON, W1H 5QJ GB"/>
    <s v="GB"/>
  </r>
  <r>
    <s v="LUMEN TECHNOLOGIES, INC. (XNYS:LUMN)"/>
    <x v="65"/>
    <s v="Telecommunications Services"/>
    <n v="5373137000"/>
    <n v="5.3"/>
    <n v="5.3677999999999997E-2"/>
    <n v="1.887E-3"/>
    <n v="10.33"/>
    <n v="0.97019999999999995"/>
    <n v="13930373"/>
    <n v="13513802"/>
    <n v="1013799000"/>
    <s v="#FIELD!"/>
    <n v="1968"/>
    <s v="New York Stock Exchange"/>
    <s v="P O BOX 4065, 100 CENTURYLINK DR, MONROE, LA, 71203 US"/>
    <s v="US"/>
  </r>
  <r>
    <s v="Porch Group, Inc. (XNAS:PRCH)"/>
    <x v="66"/>
    <s v="Software &amp; IT Services"/>
    <n v="791822080"/>
    <n v="6.5949999999999998"/>
    <n v="2.2481000000000001E-2"/>
    <n v="-1.2888999999999999E-2"/>
    <n v="7.2949999999999999"/>
    <n v="1.05"/>
    <n v="1519936"/>
    <n v="2999944"/>
    <n v="120064000"/>
    <n v="0"/>
    <n v="2019"/>
    <s v="Nasdaq Stock Market"/>
    <s v="411 1ST AVENUE S., SUITE 501, SEATTLE, WA, 98104 US"/>
    <s v="US"/>
  </r>
  <r>
    <s v="URGENT.LY INC. (XNAS:ULY)"/>
    <x v="67"/>
    <s v="Software &amp; IT Services"/>
    <n v="8395610"/>
    <n v="0.56999999999999995"/>
    <n v="1.4234999999999999E-2"/>
    <n v="-3.4561000000000001E-2"/>
    <n v="3.45"/>
    <n v="0.41149999999999998"/>
    <n v="251510"/>
    <n v="6769482"/>
    <n v="14938800"/>
    <n v="8.455E-2"/>
    <n v="2013"/>
    <s v="Nasdaq Stock Market"/>
    <s v="8609 Westwood Center Drive, Suite 810, VIENNA, VA, 22182 U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BD28EA-F5AD-44F7-8503-8160AD5754AC}"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B70" firstHeaderRow="1" firstDataRow="1" firstDataCol="1"/>
  <pivotFields count="18">
    <pivotField showAll="0"/>
    <pivotField axis="axisRow" showAll="0" sortType="ascending">
      <items count="72">
        <item x="39"/>
        <item x="55"/>
        <item x="33"/>
        <item x="16"/>
        <item x="25"/>
        <item x="52"/>
        <item x="26"/>
        <item x="45"/>
        <item x="19"/>
        <item x="17"/>
        <item x="11"/>
        <item x="18"/>
        <item x="57"/>
        <item x="61"/>
        <item m="1" x="68"/>
        <item x="46"/>
        <item x="24"/>
        <item x="62"/>
        <item x="32"/>
        <item x="43"/>
        <item x="12"/>
        <item x="60"/>
        <item x="40"/>
        <item x="7"/>
        <item x="27"/>
        <item x="13"/>
        <item x="64"/>
        <item x="15"/>
        <item x="38"/>
        <item x="34"/>
        <item x="8"/>
        <item x="63"/>
        <item x="42"/>
        <item x="65"/>
        <item x="36"/>
        <item x="41"/>
        <item x="35"/>
        <item x="37"/>
        <item x="53"/>
        <item x="30"/>
        <item x="58"/>
        <item x="66"/>
        <item x="47"/>
        <item x="14"/>
        <item x="21"/>
        <item m="1" x="69"/>
        <item x="0"/>
        <item x="54"/>
        <item x="56"/>
        <item x="1"/>
        <item x="49"/>
        <item x="23"/>
        <item x="44"/>
        <item x="31"/>
        <item x="28"/>
        <item x="59"/>
        <item x="10"/>
        <item x="22"/>
        <item m="1" x="70"/>
        <item x="50"/>
        <item x="20"/>
        <item x="4"/>
        <item x="3"/>
        <item x="48"/>
        <item x="5"/>
        <item x="51"/>
        <item x="6"/>
        <item x="29"/>
        <item x="2"/>
        <item x="67"/>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0" showAll="0"/>
    <pivotField showAll="0"/>
    <pivotField showAll="0"/>
    <pivotField showAll="0"/>
    <pivotField numFmtId="166" showAll="0"/>
    <pivotField numFmtId="166" showAll="0"/>
    <pivotField numFmtId="166" showAll="0"/>
    <pivotField showAll="0"/>
    <pivotField showAll="0"/>
    <pivotField showAll="0"/>
    <pivotField showAll="0"/>
    <pivotField showAll="0"/>
    <pivotField dataField="1" dragToRow="0" dragToCol="0" dragToPage="0" showAll="0" defaultSubtotal="0"/>
  </pivotFields>
  <rowFields count="1">
    <field x="1"/>
  </rowFields>
  <rowItems count="69">
    <i>
      <x v="66"/>
    </i>
    <i>
      <x v="56"/>
    </i>
    <i>
      <x v="68"/>
    </i>
    <i>
      <x v="69"/>
    </i>
    <i>
      <x v="10"/>
    </i>
    <i>
      <x v="29"/>
    </i>
    <i>
      <x v="3"/>
    </i>
    <i>
      <x v="8"/>
    </i>
    <i>
      <x v="61"/>
    </i>
    <i>
      <x v="30"/>
    </i>
    <i>
      <x v="27"/>
    </i>
    <i>
      <x v="70"/>
    </i>
    <i>
      <x v="17"/>
    </i>
    <i>
      <x v="46"/>
    </i>
    <i>
      <x v="55"/>
    </i>
    <i>
      <x v="36"/>
    </i>
    <i>
      <x v="4"/>
    </i>
    <i>
      <x v="25"/>
    </i>
    <i>
      <x v="31"/>
    </i>
    <i>
      <x v="41"/>
    </i>
    <i>
      <x v="28"/>
    </i>
    <i>
      <x v="67"/>
    </i>
    <i>
      <x v="49"/>
    </i>
    <i>
      <x v="32"/>
    </i>
    <i>
      <x v="22"/>
    </i>
    <i>
      <x v="15"/>
    </i>
    <i>
      <x v="11"/>
    </i>
    <i>
      <x v="35"/>
    </i>
    <i>
      <x v="37"/>
    </i>
    <i>
      <x v="24"/>
    </i>
    <i>
      <x v="1"/>
    </i>
    <i>
      <x v="53"/>
    </i>
    <i>
      <x v="13"/>
    </i>
    <i>
      <x v="48"/>
    </i>
    <i>
      <x v="16"/>
    </i>
    <i>
      <x v="64"/>
    </i>
    <i>
      <x v="65"/>
    </i>
    <i>
      <x v="21"/>
    </i>
    <i>
      <x v="18"/>
    </i>
    <i>
      <x v="43"/>
    </i>
    <i>
      <x v="9"/>
    </i>
    <i>
      <x v="63"/>
    </i>
    <i>
      <x v="34"/>
    </i>
    <i>
      <x v="59"/>
    </i>
    <i>
      <x v="51"/>
    </i>
    <i>
      <x v="40"/>
    </i>
    <i>
      <x v="7"/>
    </i>
    <i>
      <x v="47"/>
    </i>
    <i>
      <x/>
    </i>
    <i>
      <x v="19"/>
    </i>
    <i>
      <x v="20"/>
    </i>
    <i>
      <x v="33"/>
    </i>
    <i>
      <x v="62"/>
    </i>
    <i>
      <x v="52"/>
    </i>
    <i>
      <x v="23"/>
    </i>
    <i>
      <x v="39"/>
    </i>
    <i>
      <x v="50"/>
    </i>
    <i>
      <x v="38"/>
    </i>
    <i>
      <x v="60"/>
    </i>
    <i>
      <x v="54"/>
    </i>
    <i>
      <x v="44"/>
    </i>
    <i>
      <x v="2"/>
    </i>
    <i>
      <x v="5"/>
    </i>
    <i>
      <x v="6"/>
    </i>
    <i>
      <x v="57"/>
    </i>
    <i>
      <x v="26"/>
    </i>
    <i>
      <x v="42"/>
    </i>
    <i>
      <x v="12"/>
    </i>
    <i t="grand">
      <x/>
    </i>
  </rowItems>
  <colItems count="1">
    <i/>
  </colItems>
  <dataFields count="1">
    <dataField name="Sum of Volume Above Average" fld="17" baseField="0" baseItem="0" numFmtId="10"/>
  </dataFields>
  <formats count="2">
    <format dxfId="34">
      <pivotArea outline="0" collapsedLevelsAreSubtotals="1" fieldPosition="0">
        <references count="1">
          <reference field="4294967294" count="1" selected="0">
            <x v="0"/>
          </reference>
        </references>
      </pivotArea>
    </format>
    <format dxfId="33">
      <pivotArea dataOnly="0" labelOnly="1" outline="0" fieldPosition="0">
        <references count="1">
          <reference field="4294967294" count="1">
            <x v="0"/>
          </reference>
        </references>
      </pivotArea>
    </format>
  </format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D0AD95-BB09-4AB3-B0ED-98EC3620EC36}"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63" firstHeaderRow="1" firstDataRow="1" firstDataCol="1"/>
  <pivotFields count="25">
    <pivotField axis="axisRow" showAll="0" sortType="descending">
      <items count="60">
        <item x="6"/>
        <item x="10"/>
        <item x="53"/>
        <item x="42"/>
        <item x="36"/>
        <item x="1"/>
        <item x="52"/>
        <item x="15"/>
        <item x="22"/>
        <item x="41"/>
        <item x="56"/>
        <item x="8"/>
        <item x="14"/>
        <item x="37"/>
        <item x="31"/>
        <item x="55"/>
        <item x="40"/>
        <item x="47"/>
        <item x="51"/>
        <item x="23"/>
        <item x="44"/>
        <item x="7"/>
        <item x="32"/>
        <item x="27"/>
        <item x="50"/>
        <item x="29"/>
        <item x="38"/>
        <item x="46"/>
        <item x="28"/>
        <item x="43"/>
        <item x="21"/>
        <item x="57"/>
        <item x="9"/>
        <item x="24"/>
        <item x="5"/>
        <item x="26"/>
        <item x="33"/>
        <item x="48"/>
        <item x="25"/>
        <item x="0"/>
        <item x="30"/>
        <item x="3"/>
        <item x="18"/>
        <item x="19"/>
        <item x="20"/>
        <item x="16"/>
        <item x="4"/>
        <item x="13"/>
        <item x="54"/>
        <item x="49"/>
        <item x="11"/>
        <item x="35"/>
        <item x="2"/>
        <item x="34"/>
        <item x="39"/>
        <item x="17"/>
        <item x="45"/>
        <item x="12"/>
        <item x="5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60">
    <i>
      <x v="20"/>
    </i>
    <i>
      <x v="39"/>
    </i>
    <i>
      <x v="26"/>
    </i>
    <i>
      <x v="36"/>
    </i>
    <i>
      <x v="11"/>
    </i>
    <i>
      <x v="24"/>
    </i>
    <i>
      <x/>
    </i>
    <i>
      <x v="41"/>
    </i>
    <i>
      <x v="23"/>
    </i>
    <i>
      <x v="22"/>
    </i>
    <i>
      <x v="46"/>
    </i>
    <i>
      <x v="5"/>
    </i>
    <i>
      <x v="35"/>
    </i>
    <i>
      <x v="50"/>
    </i>
    <i>
      <x v="27"/>
    </i>
    <i>
      <x v="13"/>
    </i>
    <i>
      <x v="52"/>
    </i>
    <i>
      <x v="16"/>
    </i>
    <i>
      <x v="37"/>
    </i>
    <i>
      <x v="29"/>
    </i>
    <i>
      <x v="12"/>
    </i>
    <i>
      <x v="53"/>
    </i>
    <i>
      <x v="57"/>
    </i>
    <i>
      <x v="55"/>
    </i>
    <i>
      <x v="47"/>
    </i>
    <i>
      <x v="31"/>
    </i>
    <i>
      <x v="40"/>
    </i>
    <i>
      <x v="58"/>
    </i>
    <i>
      <x v="1"/>
    </i>
    <i>
      <x v="38"/>
    </i>
    <i>
      <x v="49"/>
    </i>
    <i>
      <x v="19"/>
    </i>
    <i>
      <x v="9"/>
    </i>
    <i>
      <x v="34"/>
    </i>
    <i>
      <x v="4"/>
    </i>
    <i>
      <x v="25"/>
    </i>
    <i>
      <x v="21"/>
    </i>
    <i>
      <x v="45"/>
    </i>
    <i>
      <x v="54"/>
    </i>
    <i>
      <x v="42"/>
    </i>
    <i>
      <x v="51"/>
    </i>
    <i>
      <x v="33"/>
    </i>
    <i>
      <x v="17"/>
    </i>
    <i>
      <x v="28"/>
    </i>
    <i>
      <x v="14"/>
    </i>
    <i>
      <x v="43"/>
    </i>
    <i>
      <x v="8"/>
    </i>
    <i>
      <x v="30"/>
    </i>
    <i>
      <x v="7"/>
    </i>
    <i>
      <x v="56"/>
    </i>
    <i>
      <x v="3"/>
    </i>
    <i>
      <x v="44"/>
    </i>
    <i>
      <x v="32"/>
    </i>
    <i>
      <x v="18"/>
    </i>
    <i>
      <x v="6"/>
    </i>
    <i>
      <x v="2"/>
    </i>
    <i>
      <x v="48"/>
    </i>
    <i>
      <x v="15"/>
    </i>
    <i>
      <x v="10"/>
    </i>
    <i t="grand">
      <x/>
    </i>
  </rowItems>
  <colItems count="1">
    <i/>
  </colItems>
  <dataFields count="1">
    <dataField name="Sum of Operating Margin" fld="9" baseField="0" baseItem="0" numFmtId="10"/>
  </dataFields>
  <formats count="2">
    <format dxfId="11">
      <pivotArea outline="0" collapsedLevelsAreSubtotals="1" fieldPosition="0"/>
    </format>
    <format dxfId="10">
      <pivotArea dataOnly="0" labelOnly="1" outline="0" axis="axisValues" fieldPosition="0"/>
    </format>
  </formats>
  <chartFormats count="1">
    <chartFormat chart="1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
  <a r="69">
    <v t="e">#NULL!</v>
    <v t="e">#NULL!</v>
    <v t="e">#NULL!</v>
    <v t="e">#NULL!</v>
    <v t="e">#NULL!</v>
    <v t="e">#NULL!</v>
    <v t="r">214</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i">2</v>
  </a>
  <a r="69">
    <v t="r">214</v>
    <v t="e">#NULL!</v>
    <v t="r">214</v>
    <v t="r">214</v>
    <v t="e">#NULL!</v>
    <v t="r">214</v>
    <v t="r">214</v>
    <v t="r">214</v>
    <v t="e">#NULL!</v>
    <v t="r">214</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i">2</v>
  </a>
  <a r="69">
    <v t="e">#NULL!</v>
    <v t="e">#NULL!</v>
    <v t="r">214</v>
    <v t="e">#NULL!</v>
    <v t="r">214</v>
    <v t="e">#NULL!</v>
    <v t="e">#NULL!</v>
    <v t="r">214</v>
    <v t="e">#NULL!</v>
    <v t="r">214</v>
    <v t="e">#NULL!</v>
    <v t="e">#NULL!</v>
    <v t="r">214</v>
    <v t="r">214</v>
    <v t="e">#NULL!</v>
    <v t="e">#NULL!</v>
    <v t="e">#NULL!</v>
    <v t="r">214</v>
    <v t="e">#NULL!</v>
    <v t="e">#NULL!</v>
    <v t="e">#NULL!</v>
    <v t="r">214</v>
    <v t="e">#NULL!</v>
    <v t="e">#NULL!</v>
    <v t="e">#NULL!</v>
    <v t="e">#NULL!</v>
    <v t="e">#NULL!</v>
    <v t="e">#NULL!</v>
    <v t="e">#NULL!</v>
    <v t="e">#NULL!</v>
    <v t="e">#NULL!</v>
    <v t="e">#NULL!</v>
    <v t="e">#NULL!</v>
    <v t="e">#NULL!</v>
    <v t="e">#NULL!</v>
    <v t="e">#NULL!</v>
    <v t="e">#NULL!</v>
    <v t="e">#NULL!</v>
    <v t="e">#NULL!</v>
    <v t="e">#NULL!</v>
    <v t="e">#NULL!</v>
    <v t="e">#NULL!</v>
    <v t="e">#NULL!</v>
    <v t="e">#NULL!</v>
    <v t="e">#NULL!</v>
    <v t="r">214</v>
    <v t="e">#NULL!</v>
    <v t="r">214</v>
    <v t="e">#NULL!</v>
    <v t="e">#NULL!</v>
    <v t="e">#NULL!</v>
    <v t="e">#NULL!</v>
    <v t="e">#NULL!</v>
    <v t="e">#NULL!</v>
    <v t="r">214</v>
    <v t="r">214</v>
    <v t="e">#NULL!</v>
    <v t="e">#NULL!</v>
    <v t="e">#NULL!</v>
    <v t="e">#NULL!</v>
    <v t="r">214</v>
    <v t="e">#NULL!</v>
    <v t="e">#NULL!</v>
    <v t="r">214</v>
    <v t="e">#NULL!</v>
    <v t="r">214</v>
    <v t="e">#NULL!</v>
    <v t="e">#NULL!</v>
    <v t="i">2</v>
  </a>
  <a r="69">
    <v t="r">2</v>
    <v t="r">6</v>
    <v t="r">8</v>
    <v t="r">12</v>
    <v t="r">15</v>
    <v t="r">18</v>
    <v t="r">21</v>
    <v t="r">26</v>
    <v t="r">29</v>
    <v t="r">32</v>
    <v t="r">35</v>
    <v t="r">38</v>
    <v t="r">41</v>
    <v t="r">44</v>
    <v t="r">47</v>
    <v t="r">49</v>
    <v t="r">52</v>
    <v t="r">55</v>
    <v t="r">58</v>
    <v t="r">61</v>
    <v t="r">64</v>
    <v t="r">67</v>
    <v t="r">70</v>
    <v t="r">73</v>
    <v t="r">76</v>
    <v t="r">79</v>
    <v t="r">220</v>
    <v t="r">92</v>
    <v t="r">95</v>
    <v t="r">98</v>
    <v t="r">100</v>
    <v t="r">103</v>
    <v t="r">106</v>
    <v t="r">109</v>
    <v t="r">111</v>
    <v t="r">114</v>
    <v t="r">117</v>
    <v t="r">120</v>
    <v t="r">123</v>
    <v t="r">126</v>
    <v t="r">129</v>
    <v t="r">132</v>
    <v t="r">135</v>
    <v t="r">138</v>
    <v t="r">141</v>
    <v t="r">144</v>
    <v t="r">147</v>
    <v t="r">149</v>
    <v t="r">152</v>
    <v t="r">222</v>
    <v t="r">162</v>
    <v t="r">165</v>
    <v t="r">168</v>
    <v t="r">171</v>
    <v t="r">174</v>
    <v t="r">177</v>
    <v t="r">180</v>
    <v t="r">183</v>
    <v t="r">186</v>
    <v t="r">189</v>
    <v t="r">192</v>
    <v t="r">195</v>
    <v t="r">198</v>
    <v t="r">201</v>
    <v t="r">204</v>
    <v t="r">207</v>
    <v t="r">210</v>
    <v t="r">213</v>
    <v t="i">2</v>
  </a>
  <a r="69">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r">214</v>
    <v t="e">#NULL!</v>
    <v t="e">#NULL!</v>
    <v t="e">#NULL!</v>
    <v t="i">2</v>
  </a>
</arrayData>
</file>

<file path=xl/richData/rdrichvalue.xml><?xml version="1.0" encoding="utf-8"?>
<rvData xmlns="http://schemas.microsoft.com/office/spreadsheetml/2017/richdata" count="226">
  <rv s="0">
    <v>https://www.bing.com/financeapi/forcetrigger?t=ab5mkr&amp;q=XTSX%3aSLI&amp;form=skydnc</v>
    <v>Learn more on Bing</v>
  </rv>
  <rv s="1">
    <v>en-US</v>
    <v>ab5mkr</v>
    <v>268435456</v>
    <v>1</v>
    <v>Powered by Refinitiv</v>
    <v>0</v>
    <v>Standard Lithium Ltd (XTSX:SLI)</v>
    <v>2</v>
    <v>3</v>
    <v>Finance</v>
    <v>4</v>
    <v>3.67</v>
    <v>1.45</v>
    <v>1.9014</v>
    <v>7.0000000000000007E-2</v>
    <v>3.8251E-2</v>
    <v>CAD</v>
    <v>Standard Lithium Ltd. is a Canada-based near-commercial lithium development company. The Company is focused on the sustainable development of a portfolio of lithium-brine bearing properties in the United States. The Company's projects, the Phase 1A Project and the South West Arkansas Project, are located on the Smackover Formation in southern Arkansas, a region with a longstanding and established brine processing industry. The Company has also identified a number of highly prospective lithium brine project areas in the Smackover Formation in East Texas and began a brine leasing program in the key project areas. The Phase 1A Project is a brownfield project being developed in cooperation with LANXESS Corp. The South West Arkansas Project is a greenfield project located approximately 15 miles to the west of the LANXESS facilities. In addition, the Company also has an interest in certain mineral leases located in the Mojave Desert in San Bernardino County, California.</v>
    <v>0</v>
    <v>TSX Venture Exchange</v>
    <v>XTSX</v>
    <v>XTSX</v>
    <v>1625 - 1075 West Georgia Street, VANCOUVER, BC, V6E 3C9 CA</v>
    <v>1.91</v>
    <v>Metals &amp; Mining</v>
    <v>Stock</v>
    <v>45723.875</v>
    <v>0</v>
    <v>1.82</v>
    <v>328229180</v>
    <v>Standard Lithium Ltd</v>
    <v>Standard Lithium Ltd</v>
    <v>1.89</v>
    <v>2.4249000000000001</v>
    <v>1.83</v>
    <v>1.9</v>
    <v>172752200</v>
    <v>SLI</v>
    <v>Standard Lithium Ltd (XTSX:SLI)</v>
    <v>49848</v>
    <v>202820</v>
    <v>2021</v>
  </rv>
  <rv s="2">
    <v>1</v>
  </rv>
  <rv s="3">
    <v>12</v>
    <v>Change % (Extended hours)</v>
    <v>0</v>
  </rv>
  <rv s="0">
    <v>https://www.bing.com/financeapi/forcetrigger?t=a2469c&amp;q=OTCM%3aTGEN&amp;form=skydnc</v>
    <v>Learn more on Bing</v>
  </rv>
  <rv s="4">
    <v>en-US</v>
    <v>a2469c</v>
    <v>268435456</v>
    <v>1</v>
    <v>Powered by Refinitiv</v>
    <v>5</v>
    <v>TECOGEN INC. (OTCM:TGEN)</v>
    <v>2</v>
    <v>6</v>
    <v>Finance</v>
    <v>7</v>
    <v>3.4</v>
    <v>0.58499999999999996</v>
    <v>0.49719999999999998</v>
    <v>7.0000000000000007E-2</v>
    <v>-4.1670000000000006E-3</v>
    <v>3.0043E-2</v>
    <v>-0.01</v>
    <v>USD</v>
    <v>Tecogen Inc. designs, manufactures, markets, and maintains ultra-clean cogeneration products. The Company includes natural gas engine-driven combined heat and power (CHP) systems, chillers, and heat pumps for multi-family residential, commercial, recreational, and industrial use. The Company operates through three segments: Products, Services, and Energy Production. The Products segment designs, manufactures and sells industrial and commercial cogeneration systems. The Services segment provides operations and maintenance services and turn-key installation for its products under long-term service contracts. The Energy Production segment, which installs, operates, and maintains distributed generation electricity systems that it owns and sells energy generated by such systems in the form of electricity, heat, hot water, and cooling to its customers under long-term energy sales agreements. The Company's products are sold with its patented Ultera emissions technology.</v>
    <v>92</v>
    <v>OTC Markets</v>
    <v>OTCM</v>
    <v>OTCM</v>
    <v>45 1st Ave, WALTHAM, MA, 02451-1105 US</v>
    <v>2.44</v>
    <v>Machinery, Equipment &amp; Components</v>
    <v>Stock</v>
    <v>45724.048611111109</v>
    <v>4</v>
    <v>2.31</v>
    <v>59640624</v>
    <v>TECOGEN INC.</v>
    <v>TECOGEN INC.</v>
    <v>2.33</v>
    <v>0</v>
    <v>2.33</v>
    <v>2.4</v>
    <v>2.39</v>
    <v>24850260</v>
    <v>TGEN</v>
    <v>TECOGEN INC. (OTCM:TGEN)</v>
    <v>132687</v>
    <v>247450</v>
    <v>2000</v>
  </rv>
  <rv s="2">
    <v>5</v>
  </rv>
  <rv s="5">
    <v>en-US</v>
    <v>c87m8m</v>
    <v>268435456</v>
    <v>1</v>
    <v>Powered by Refinitiv</v>
    <v>8</v>
    <v>MGO GLOBAL INC. (XNAS:HMR)</v>
    <v>9</v>
    <v>10</v>
    <v>Finance</v>
    <v>11</v>
    <v>18.3</v>
    <v>0.1</v>
    <v>0</v>
    <v>0</v>
    <v>USD</v>
    <v>MGO Global, Inc. is a digitally native, lifestyle brand portfolio company. The Company is engaged in building a portfolio of independent, digitally native, lifestyle brands delivering customer experiences across its e-commerce and wholesale channels. The Company operates through two business units: Americana Liberty, which markets a growing, high-end line of thoughtfully curated home and outdoor products, including Stand Flagpoles, and MGO Digital, which leverages data analytics, advanced technology-enabled marketing and its leadership's industry relationships and expertise to identify, incubate and introduce to market new, authentic lifestyle brand concepts. Stand Flagpole products are sold directly to consumers through its e-commerce store, found at www.standflagpoles.com. Its core product line is anchored by the Roosevelt Premium 25ft Telescoping Flagpole Kit, featuring a durable 3'' diameter telescoping pole that has been designed to withstand category one hurricane wind speeds.</v>
    <v>7</v>
    <v>Nasdaq Stock Market</v>
    <v>XNAS</v>
    <v>XNAS</v>
    <v>813 Ne 17Th Terrace,, Unit A, FORT LAUDERDALE, FL, 33304 US</v>
    <v>3.8</v>
    <v>Media &amp; Publishing</v>
    <v>Stock</v>
    <v>45713.892197325782</v>
    <v>2.2000000000000002</v>
    <v>171960468</v>
    <v>MGO GLOBAL INC.</v>
    <v>MGO GLOBAL INC.</v>
    <v>2.62</v>
    <v>3.06</v>
    <v>3.03</v>
    <v>56752630</v>
    <v>HMR</v>
    <v>MGO GLOBAL INC. (XNAS:HMR)</v>
    <v>4830541</v>
    <v>214384520</v>
    <v>2021</v>
  </rv>
  <rv s="2">
    <v>7</v>
  </rv>
  <rv s="3">
    <v>12</v>
    <v>P/E</v>
    <v>0</v>
  </rv>
  <rv s="0">
    <v>https://www.bing.com/financeapi/forcetrigger?t=anb2p2&amp;q=XTAI%3a2330&amp;form=skydnc</v>
    <v>Learn more on Bing</v>
  </rv>
  <rv s="1">
    <v>en-US</v>
    <v>anb2p2</v>
    <v>268435456</v>
    <v>1</v>
    <v>Powered by Refinitiv</v>
    <v>0</v>
    <v>Taiwan Semiconductor Manufacturing Co., Ltd. (XTAI:2330)</v>
    <v>2</v>
    <v>12</v>
    <v>Finance</v>
    <v>13</v>
    <v>1160</v>
    <v>711</v>
    <v>1.4708000000000001</v>
    <v>0</v>
    <v>0</v>
    <v>TWD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Taiwan Stock Exchange</v>
    <v>XTAI</v>
    <v>XTAI</v>
    <v>No.8, Li-Hsin 6th Road, Hsinchu Science Park, HSINCHU, HSINCHU, 300 TW</v>
    <v>1010</v>
    <v>Semiconductors &amp; Semiconductor Equipment</v>
    <v>Stock</v>
    <v>45723.397152777776</v>
    <v>10</v>
    <v>1000</v>
    <v>26451390000000</v>
    <v>Taiwan Semiconductor Manufacturing Co., Ltd.</v>
    <v>Taiwan Semiconductor Manufacturing Co., Ltd.</v>
    <v>1005</v>
    <v>22.21</v>
    <v>1005</v>
    <v>1005</v>
    <v>25932730000</v>
    <v>2330</v>
    <v>Taiwan Semiconductor Manufacturing Co., Ltd. (XTAI:2330)</v>
    <v>50358724</v>
    <v>47217110</v>
    <v>1987</v>
  </rv>
  <rv s="2">
    <v>11</v>
  </rv>
  <rv s="0">
    <v>https://www.bing.com/financeapi/forcetrigger?t=c2rt52&amp;q=XNYS%3aEGGF&amp;form=skydnc</v>
    <v>Learn more on Bing</v>
  </rv>
  <rv s="6">
    <v>en-US</v>
    <v>c2rt52</v>
    <v>268435456</v>
    <v>1</v>
    <v>Powered by Refinitiv</v>
    <v>14</v>
    <v>FLYEXCLUSIVE INC. (XNYS:FLYX)</v>
    <v>2</v>
    <v>15</v>
    <v>Finance</v>
    <v>16</v>
    <v>24.21</v>
    <v>1.79</v>
    <v>0.1295</v>
    <v>-1.4999999999999999E-2</v>
    <v>-4.9474999999999998E-2</v>
    <v>-4.4779999999999993E-3</v>
    <v>-0.16500000000000001</v>
    <v>USD</v>
    <v>Flyexclusive Inc. is a vertically integrated air carrier providing private jet experiences offering customers a choice of on-demand charter, Jet Club, and fractional ownership services to destinations across the globe. The Company is the owner and operators of Cessna Citation aircraft. It has approximately 100 aircraft in its owned and leased fleet that includes light, midsize, super-midsize, and large jets. It also operates a fleet of Gulfstream and Challenger aircraft to service customers flying domestically and internationally. It includes in-house maintenance, repair and overhaul services, including paint, interiors, and avionics capabilities. Its aircraft include Citation CJ3 / CJ3+, Citation Excel / XLS / XLS+, Citation Encore+, Citation Sovereign, Citation X, and Challenger 350 aircraft. Additionally, it delivers enhancements to its jet club and grew memberships. It provides service across North America, Caribbean, Central America, South America, Europe, and Asia, others.</v>
    <v>New York Stock Exchange</v>
    <v>XNYS</v>
    <v>XNYS</v>
    <v>375 Park Avenue, 24th Floor, NEW YORK, NY, 10152 US</v>
    <v>3.49</v>
    <v>Passenger Transportation Services</v>
    <v>Stock</v>
    <v>45724.039744524998</v>
    <v>13</v>
    <v>3.3</v>
    <v>260562200</v>
    <v>FLYEXCLUSIVE INC.</v>
    <v>FLYEXCLUSIVE INC.</v>
    <v>3.49</v>
    <v>3.35</v>
    <v>3.335</v>
    <v>3.17</v>
    <v>78129590</v>
    <v>FLYX</v>
    <v>FLYEXCLUSIVE INC. (XNYS:FLYX)</v>
    <v>5267</v>
    <v>34596</v>
    <v>2021</v>
  </rv>
  <rv s="2">
    <v>14</v>
  </rv>
  <rv s="0">
    <v>https://www.bing.com/financeapi/forcetrigger?t=alnz5r&amp;q=XAMS%3aASML&amp;form=skydnc</v>
    <v>Learn more on Bing</v>
  </rv>
  <rv s="1">
    <v>en-US</v>
    <v>alnz5r</v>
    <v>268435456</v>
    <v>1</v>
    <v>Powered by Refinitiv</v>
    <v>0</v>
    <v>ASML Holding NV (XAMS:ASML)</v>
    <v>2</v>
    <v>17</v>
    <v>Finance</v>
    <v>18</v>
    <v>1021.8</v>
    <v>605.70000000000005</v>
    <v>1.8614999999999999</v>
    <v>-4</v>
    <v>-5.9699999999999996E-3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42786</v>
    <v>Euronext Amsterdam</v>
    <v>XAMS</v>
    <v>XAMS</v>
    <v>De Run 6501, VELDHOVEN, NOORD-BRABANT, 5504 DR NL</v>
    <v>677.2</v>
    <v>Semiconductors &amp; Semiconductor Equipment</v>
    <v>Stock</v>
    <v>45723.708333333336</v>
    <v>16</v>
    <v>662.8</v>
    <v>262291300000</v>
    <v>ASML Holding NV</v>
    <v>ASML Holding NV</v>
    <v>670.8</v>
    <v>34.601900000000001</v>
    <v>670</v>
    <v>666</v>
    <v>393830700</v>
    <v>ASML</v>
    <v>ASML Holding NV (XAMS:ASML)</v>
    <v>746863</v>
    <v>924920</v>
    <v>1994</v>
  </rv>
  <rv s="2">
    <v>17</v>
  </rv>
  <rv s="0">
    <v>https://www.bing.com/financeapi/forcetrigger?t=afgp6h&amp;q=XFRA%3aNKE&amp;form=skydnc</v>
    <v>Learn more on Bing</v>
  </rv>
  <rv s="7">
    <v>en-US</v>
    <v>afgp6h</v>
    <v>268435456</v>
    <v>1</v>
    <v>Powered by Refinitiv</v>
    <v>19</v>
    <v>NIKE, INC. (XFRA:NKE)</v>
    <v>2</v>
    <v>20</v>
    <v>Finance</v>
    <v>18</v>
    <v>1.0760000000000001</v>
    <v>-1.04</v>
    <v>-1.4419999999999999E-2</v>
    <v>EUR</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79400</v>
    <v>Deutsche Boerse AG</v>
    <v>XFRA</v>
    <v>XFRA</v>
    <v>One Bowerman Dr, BEAVERTON, OR, 97005-6453 US</v>
    <v>72.349999999999994</v>
    <v>Textiles &amp; Apparel</v>
    <v>Stock</v>
    <v>45723.878472222219</v>
    <v>19</v>
    <v>71.08</v>
    <v>116244600000</v>
    <v>NIKE, INC.</v>
    <v>NIKE, INC.</v>
    <v>72</v>
    <v>23.2288</v>
    <v>72.12</v>
    <v>71.08</v>
    <v>1479127000</v>
    <v>NKE</v>
    <v>NIKE, INC. (XFRA:NKE)</v>
    <v>912</v>
    <v>13286350</v>
    <v>1969</v>
  </rv>
  <rv s="2">
    <v>20</v>
  </rv>
  <rv s="3">
    <v>12</v>
    <v>52 week high</v>
    <v>0</v>
  </rv>
  <rv s="3">
    <v>12</v>
    <v>52 week low</v>
    <v>0</v>
  </rv>
  <rv s="0">
    <v>https://www.bing.com/financeapi/forcetrigger?t=aqkggh&amp;q=XTAE%3aGCT&amp;form=skydnc</v>
    <v>Learn more on Bing</v>
  </rv>
  <rv s="8">
    <v>en-US</v>
    <v>aqkggh</v>
    <v>268435456</v>
    <v>1</v>
    <v>Powered by Refinitiv</v>
    <v>21</v>
    <v>G CITY LTD (XTAE:GCT)</v>
    <v>2</v>
    <v>22</v>
    <v>Finance</v>
    <v>23</v>
    <v>3783</v>
    <v>845.8</v>
    <v>1.5723</v>
    <v>-19</v>
    <v>-1.6115000000000001E-2</v>
    <v>ILa</v>
    <v>G City Ltd, former Gazit Globe Ltd, is an Israel-based real estate company specialized in retail premises. The Company is engaged, directly and through its subsidiaries in the acquisition, improvement, development and management of income-producing real estate for mixed uses including commercial, residential and office. Company's aim is to meet the needs of the population, In North America, Israel, Brazil, Northern, Central and Eastern Europe, focusing on densely populated urban areas in cities centrality. Its subsidiaries includes: European Atrium European Real Estate, Citycon, Gazit Brasil, Gazit Israel, Gazit Horizons.</v>
    <v>556</v>
    <v>Tel Aviv Stock Exchange</v>
    <v>XTAE</v>
    <v>XTAE</v>
    <v>Aharon Becker 8, TEL AVIV-YAFO, 6964316 IL</v>
    <v>1194</v>
    <v>Real Estate Operations</v>
    <v>Stock</v>
    <v>45722.642326388886</v>
    <v>24</v>
    <v>1140</v>
    <v>2349457000</v>
    <v>G CITY LTD</v>
    <v>G CITY LTD</v>
    <v>1194</v>
    <v>1179</v>
    <v>1160</v>
    <v>199275400</v>
    <v>GCT</v>
    <v>G CITY LTD (XTAE:GCT)</v>
    <v>433908</v>
    <v>399000</v>
    <v>1982</v>
  </rv>
  <rv s="2">
    <v>25</v>
  </rv>
  <rv s="0">
    <v>https://www.bing.com/financeapi/forcetrigger?t=a2mfoc&amp;q=OTCM%3aKRKNF&amp;form=skydnc</v>
    <v>Learn more on Bing</v>
  </rv>
  <rv s="4">
    <v>en-US</v>
    <v>a2mfoc</v>
    <v>268435456</v>
    <v>1</v>
    <v>Powered by Refinitiv</v>
    <v>5</v>
    <v>Kraken Robotics Inc. (OTCM:KRKNF)</v>
    <v>2</v>
    <v>24</v>
    <v>Finance</v>
    <v>7</v>
    <v>2.12</v>
    <v>0.68</v>
    <v>0.94479999999999997</v>
    <v>-2.7E-2</v>
    <v>-5.1209999999999997E-3</v>
    <v>-1.6875000000000001E-2</v>
    <v>-8.0549999999999997E-3</v>
    <v>USD</v>
    <v>Kraken Robotics Inc. is a Canada-based marine technology company providing complex subsea sensors, batteries, and robotic systems. The Company’s high-resolution three-dimensional (3D) acoustic imaging solutions and services enable clients to overcome the challenges in oceans. The Company operates through two segments: Products and Services. The Products segment is engaged in the design, manufacture and sale of equipment including underwater vehicle platforms, Synthetic Aperture Sonar and subsea power equipment. Its product business consists primarily of its AquaPix MINSAS sensors, KATFISH systems, SeaPower subsea battery systems and RMDS. The Services segment is involved in the provision of services for underwater sonar and laser scanner sensor equipment and underwater vehicle platforms. Its Services business consists of services provided by robotics as a service (RaaS) portfolio of equipment including its Sub-Bottom Imager, Acoustic Corer and KATFISH.</v>
    <v>244</v>
    <v>OTC Markets</v>
    <v>OTCM</v>
    <v>OTCM</v>
    <v>189 Glencoe Dr, MOUNT PEARL, NL, A1N 4P6 CA</v>
    <v>1.67</v>
    <v>Aerospace &amp; Defense</v>
    <v>Stock</v>
    <v>45724.048611111109</v>
    <v>27</v>
    <v>1.5369999999999999</v>
    <v>601762400</v>
    <v>Kraken Robotics Inc.</v>
    <v>Kraken Robotics Inc.</v>
    <v>1.67</v>
    <v>52.0154</v>
    <v>1.6</v>
    <v>1.573</v>
    <v>1.5649</v>
    <v>262778400</v>
    <v>KRKNF</v>
    <v>Kraken Robotics Inc. (OTCM:KRKNF)</v>
    <v>219464</v>
    <v>1208580</v>
    <v>2015</v>
  </rv>
  <rv s="2">
    <v>28</v>
  </rv>
  <rv s="0">
    <v>https://www.bing.com/financeapi/forcetrigger?t=axx8f2&amp;q=XTSX%3aDGHI&amp;form=skydnc</v>
    <v>Learn more on Bing</v>
  </rv>
  <rv s="8">
    <v>en-US</v>
    <v>axx8f2</v>
    <v>268435456</v>
    <v>1</v>
    <v>Powered by Refinitiv</v>
    <v>25</v>
    <v>DIGI POWER X INC. (XTSX:DGX)</v>
    <v>2</v>
    <v>26</v>
    <v>Finance</v>
    <v>4</v>
    <v>5.42</v>
    <v>1.35</v>
    <v>8.9558</v>
    <v>-0.11</v>
    <v>-5.3658999999999998E-2</v>
    <v>CAD</v>
    <v>Digi Power X Inc., formerly Digihost Technology Inc., is an energy infrastructure company. The Company is engaged in cryptocurrency mining. The operations of the Company are located in two geographic locations: Canada and the United States. The Company focuses on its network development, hosting, and mining operations supported by renewable and sustainable energy. The 90% of the energy consumed by the Company is from sources that create zero-carbon emissions, while 50% of the energy consumed is being generated from renewable energy sources. The Company operates its own power generation facilities, which focuses on using bridge power sources where available for low-carbon or renewable sources of energy by creating applications for existing power supplies and transforming the way power is used and the way blockchain is applied. It operates an approximately 60-megawatt (MW) power plant in North Tonawanda, New York State. It operates from three sites in the United States.</v>
    <v>15</v>
    <v>TSX Venture Exchange</v>
    <v>XTSX</v>
    <v>XTSX</v>
    <v>110 Yonge Street, Suite 1601, TORONTO, ON, M5C 1T4 CA</v>
    <v>1.98</v>
    <v>Financial Technology (Fintech) &amp; Infrastructure</v>
    <v>Stock</v>
    <v>45723.8749537037</v>
    <v>30</v>
    <v>1.75</v>
    <v>71730471</v>
    <v>DIGI POWER X INC.</v>
    <v>DIGI POWER X INC.</v>
    <v>1.85</v>
    <v>2.0499999999999998</v>
    <v>1.94</v>
    <v>36974470</v>
    <v>DGX</v>
    <v>DIGI POWER X INC. (XTSX:DGX)</v>
    <v>7264</v>
    <v>32020</v>
    <v>2017</v>
  </rv>
  <rv s="2">
    <v>31</v>
  </rv>
  <rv s="0">
    <v>https://www.bing.com/financeapi/forcetrigger?t=c3lwhw&amp;q=XNAS%3aOXAC&amp;form=skydnc</v>
    <v>Learn more on Bing</v>
  </rv>
  <rv s="4">
    <v>en-US</v>
    <v>c3lwhw</v>
    <v>268435456</v>
    <v>1</v>
    <v>Powered by Refinitiv</v>
    <v>5</v>
    <v>JET.AI INC. (XNAS:JTAI)</v>
    <v>2</v>
    <v>6</v>
    <v>Finance</v>
    <v>16</v>
    <v>315</v>
    <v>2.2999999999999998</v>
    <v>-0.41699999999999998</v>
    <v>-0.36</v>
    <v>-1.3725000000000001E-2</v>
    <v>-6.5933999999999993E-2</v>
    <v>-7.0000000000000007E-2</v>
    <v>USD</v>
    <v>Jet.AI Inc., through its subsidiaries, is principally involved in the sale of fractional and whole interests in aircraft; the sale of jet cards, and operation of a proprietary booking platform, which functions as a prospecting and quoting platform to arrange private jet travel with third party carriers as well as via the Company’s leased and managed aircraft; direct chartering of its HondaJet aircraft by Cirrus; aircraft brokerage and services. Its booking CharterGPT platform displays a variety of options across private aircraft types in addition to the pricing of its own aircraft, with a range of prices drawn from a list of thousands of aircraft for hire. Its Jet.AI Operator Platform provides and continues to develop a business to business (B2B) software platform for a suite of software as a service (SaaS) product termed Jet.AI Operator Platform which consists of Reroute AI, DynoFlight, and FlightClub-Cirrus Specific.</v>
    <v>9</v>
    <v>Nasdaq Stock Market</v>
    <v>XNAS</v>
    <v>XNAS</v>
    <v>10845 Griffith Peak Dr., Suite 200, LAS VEGAS, NV, 89135 US</v>
    <v>5.6481000000000003</v>
    <v>Software &amp; IT Services</v>
    <v>Stock</v>
    <v>45723.875011909375</v>
    <v>33</v>
    <v>4.8099999999999996</v>
    <v>6638230</v>
    <v>JET.AI INC.</v>
    <v>JET.AI INC.</v>
    <v>5.46</v>
    <v>0</v>
    <v>5.46</v>
    <v>5.0999999999999996</v>
    <v>5.03</v>
    <v>1301610</v>
    <v>JTAI</v>
    <v>JET.AI INC. (XNAS:JTAI)</v>
    <v>237760</v>
    <v>11746962</v>
    <v>2023</v>
  </rv>
  <rv s="2">
    <v>34</v>
  </rv>
  <rv s="0">
    <v>https://www.bing.com/financeapi/forcetrigger?t=c1uuww&amp;q=XNAS%3aDHCA&amp;form=skydnc</v>
    <v>Learn more on Bing</v>
  </rv>
  <rv s="4">
    <v>en-US</v>
    <v>c1uuww</v>
    <v>268435456</v>
    <v>1</v>
    <v>Powered by Refinitiv</v>
    <v>5</v>
    <v>BRAND ENGAGEMENT NETWORK INC. (XNAS:BNAI)</v>
    <v>2</v>
    <v>6</v>
    <v>Finance</v>
    <v>27</v>
    <v>19.75</v>
    <v>0.30299999999999999</v>
    <v>0.51049999999999995</v>
    <v>-4.0000000000000001E-3</v>
    <v>-4.9861000000000003E-2</v>
    <v>-1.1019000000000001E-2</v>
    <v>-1.7899999999999999E-2</v>
    <v>USD</v>
    <v>Brand Engagement Network Inc. is a provider of conversational artificial technology (AI) technology and human-like AI avatars. The Company delivers personalized, multi-modal (text, voice, and vision) AI engagement, with a focus on industries where there is a workforce gap to transform how consumers engage with networks, providers, and brands. Its AI assistants are built on proprietary natural language processing, anomaly detection, multisensory awareness, sentiment, and environmental analysis, as well as real-time individuation and personalization capabilities. The Company’s platform is designed to configure, train, and operate AI assistants that engage with professionals and consumers through multiple channels, boosting customer experience and providing instant personalized assistance for consumers in the automotive and healthcare markets. Its AI assistants can be offered to its clients’ customers through mobile apps, desktops, or laptops, as well as through in-store lifesize kiosks.</v>
    <v>26</v>
    <v>Nasdaq Stock Market</v>
    <v>XNAS</v>
    <v>XNAS</v>
    <v>145 E. Snow King Ave, Po Box 1045, JACKSON, WY, 83001 US</v>
    <v>0.39760000000000001</v>
    <v>Software &amp; IT Services</v>
    <v>Stock</v>
    <v>45723.991512060158</v>
    <v>36</v>
    <v>0.34110000000000001</v>
    <v>13617501</v>
    <v>BRAND ENGAGEMENT NETWORK INC.</v>
    <v>BRAND ENGAGEMENT NETWORK INC.</v>
    <v>0.35499999999999998</v>
    <v>0</v>
    <v>0.36299999999999999</v>
    <v>0.35899999999999999</v>
    <v>0.34110000000000001</v>
    <v>37931760</v>
    <v>BNAI</v>
    <v>BRAND ENGAGEMENT NETWORK INC. (XNAS:BNAI)</v>
    <v>482275</v>
    <v>10027164</v>
    <v>2024</v>
  </rv>
  <rv s="2">
    <v>37</v>
  </rv>
  <rv s="0">
    <v>https://www.bing.com/financeapi/forcetrigger?t=c3h8f2&amp;q=OTCM%3aEXOD&amp;form=skydnc</v>
    <v>Learn more on Bing</v>
  </rv>
  <rv s="9">
    <v>en-US</v>
    <v>c3h8f2</v>
    <v>268435456</v>
    <v>1</v>
    <v>Powered by Refinitiv</v>
    <v>28</v>
    <v>EXODUS MOVEMENT, INC. (XNYS:EXOD)</v>
    <v>2</v>
    <v>29</v>
    <v>Finance</v>
    <v>27</v>
    <v>117.3985</v>
    <v>6.25</v>
    <v>3.6339999999999999</v>
    <v>0.1</v>
    <v>2.1190000000000002E-3</v>
    <v>3.4129999999999998E-3</v>
    <v>6.2300000000000001E-2</v>
    <v>USD</v>
    <v>Exodus Movement, Inc. is a financial technology company providing individuals and businesses with secure crypto software solutions. The Company is engaged in the business of creating and distributing self-custodial wallets for digital assets. With self-custodial wallets, it puts customers in full control of their funds, enabling them to swap, buy, and sell crypto. Its products include Web3 Wallet, Mobile Wallet, Desktop Wallet, Trezor Hardware Wallet, Earn Crypto Rewards, XO Swap, Passkeys Wallet &amp; SDK, and Wallet-as-a-Service (WaaS). XO Swap provides its customers to move assets across blockchains safely. Its Web3 Wallet features include connect to web3 dapps, one home for its customers NFTs, and swap cross-chain. Its Desktop Wallet provides a way to secure, manage, and swap cryptocurrency in one application. Its customers can manage and swap their cryptocurrencies in Exodus securely from their Trezor. It offers one-click Web3 onboarding with Passkeys Developer kit.</v>
    <v>195</v>
    <v>New York Stock Exchange</v>
    <v>XNYS</v>
    <v>XNYS</v>
    <v>15418 Weir St., #333, OMAHA, NE, 68137 US</v>
    <v>32.950000000000003</v>
    <v>Software &amp; IT Services</v>
    <v>Stock</v>
    <v>45723.881944444445</v>
    <v>39</v>
    <v>28</v>
    <v>840799300</v>
    <v>EXODUS MOVEMENT, INC.</v>
    <v>EXODUS MOVEMENT, INC.</v>
    <v>28.85</v>
    <v>29.3</v>
    <v>29.4</v>
    <v>29.462299999999999</v>
    <v>28598610</v>
    <v>EXOD</v>
    <v>EXODUS MOVEMENT, INC. (XNYS:EXOD)</v>
    <v>70586</v>
    <v>71637</v>
    <v>2016</v>
  </rv>
  <rv s="2">
    <v>40</v>
  </rv>
  <rv s="0">
    <v>https://www.bing.com/financeapi/forcetrigger?t=c24tvh&amp;q=XNYS%3aGROV&amp;form=skydnc</v>
    <v>Learn more on Bing</v>
  </rv>
  <rv s="9">
    <v>en-US</v>
    <v>c24tvh</v>
    <v>268435456</v>
    <v>1</v>
    <v>Powered by Refinitiv</v>
    <v>28</v>
    <v>GROVE COLLABORATIVE HOLDINGS, INC. (XNYS:GROV)</v>
    <v>2</v>
    <v>29</v>
    <v>Finance</v>
    <v>27</v>
    <v>2.2418</v>
    <v>1.1850000000000001</v>
    <v>1.0043</v>
    <v>0.02</v>
    <v>0</v>
    <v>1.2345999999999999E-2</v>
    <v>0</v>
    <v>USD</v>
    <v>Grove Collaborative Holdings, Inc. is a consumer products company. The Company use its connection with consumers to create and curate authentic, disruptive brands and products. It creates and curates more than 200 high-performing eco-friendly brands of household cleaning, personal care, laundry, clean beauty, baby and pet care products serving millions of households across the United States. Its omnichannel distribution strategy enables it to reach consumers where they want to shop. It operates an online direct-to-consumer Website and mobile application (DTC platform) where it both sell its Grove-owned brands (Grove Brands) and partners with other natural and mission-based consumer packaged goods (CPG) brands, providing consumers the selection of curated products across many categories and brands. Its flagship brand is The Grove Co. Its incubator brand portfolio includes Peach, Rooted Beauty, Superbloom and Honu. The Company also offers third-party brands.</v>
    <v>408</v>
    <v>New York Stock Exchange</v>
    <v>XNYS</v>
    <v>XNYS</v>
    <v>1301 Sansome Street, SAN FRANCISCO, CA, 94111 US</v>
    <v>1.64</v>
    <v>Software &amp; IT Services</v>
    <v>Stock</v>
    <v>45723.916481967186</v>
    <v>42</v>
    <v>1.5529999999999999</v>
    <v>64536810</v>
    <v>GROVE COLLABORATIVE HOLDINGS, INC.</v>
    <v>GROVE COLLABORATIVE HOLDINGS, INC.</v>
    <v>1.62</v>
    <v>1.62</v>
    <v>1.64</v>
    <v>1.64</v>
    <v>39351720</v>
    <v>GROV</v>
    <v>GROVE COLLABORATIVE HOLDINGS, INC. (XNYS:GROV)</v>
    <v>51854</v>
    <v>110429</v>
    <v>2022</v>
  </rv>
  <rv s="2">
    <v>43</v>
  </rv>
  <rv s="0">
    <v>https://www.bing.com/financeapi/forcetrigger?t=a22ra2&amp;q=XNAS%3aSEDG&amp;form=skydnc</v>
    <v>Learn more on Bing</v>
  </rv>
  <rv s="4">
    <v>en-US</v>
    <v>a22ra2</v>
    <v>268435456</v>
    <v>1</v>
    <v>Powered by Refinitiv</v>
    <v>5</v>
    <v>SOLAREDGE TECHNOLOGIES, INC. (XNAS:SEDG)</v>
    <v>2</v>
    <v>6</v>
    <v>Finance</v>
    <v>27</v>
    <v>78.405000000000001</v>
    <v>10.24</v>
    <v>1.6537999999999999</v>
    <v>0.83</v>
    <v>2.967E-3</v>
    <v>5.1810000000000002E-2</v>
    <v>0.05</v>
    <v>USD</v>
    <v>SolarEdge Technologies, Inc. offers an inverter solution for a solar photovoltaic (PV) system. The Company's products include SolarEdge Power Optimizer, SolarEdge Inverter, StorEdge Solutions and SolarEdge Monitoring Software. Its product roadmap consists of categories, including power optimizers, inverters, monitoring services, energy storage and smart energy management. The Company's power optimizers provide module-level maximum power point (MPP) tracking and real-time adjustments of current and voltage to the optimal working point of each individual PV module. The Company's solution consists of a direct current (DC) power optimizer, an inverter and a cloud-based monitoring platform that operates as a single integrated system.</v>
    <v>3961</v>
    <v>Nasdaq Stock Market</v>
    <v>XNAS</v>
    <v>XNAS</v>
    <v>1 HaMada St., POB 12001, HERZLIYA, 4672505 IL</v>
    <v>17.574999999999999</v>
    <v>Renewable Energy</v>
    <v>Stock</v>
    <v>45724.040199385934</v>
    <v>45</v>
    <v>16.245000000000001</v>
    <v>990485462</v>
    <v>SOLAREDGE TECHNOLOGIES, INC.</v>
    <v>SOLAREDGE TECHNOLOGIES, INC.</v>
    <v>16.27</v>
    <v>0</v>
    <v>16.02</v>
    <v>16.850000000000001</v>
    <v>16.899999999999999</v>
    <v>58782520</v>
    <v>SEDG</v>
    <v>SOLAREDGE TECHNOLOGIES, INC. (XNAS:SEDG)</v>
    <v>4158665</v>
    <v>4903376</v>
    <v>2006</v>
  </rv>
  <rv s="2">
    <v>46</v>
  </rv>
  <rv s="10">
    <v>en-US</v>
    <v>cau8ur</v>
    <v>268435456</v>
    <v>1</v>
    <v>Powered by Refinitiv</v>
    <v>30</v>
    <v>Globavend Holdings Ltd (XNAS:GVH)</v>
    <v>9</v>
    <v>31</v>
    <v>Finance</v>
    <v>16</v>
    <v>2.57</v>
    <v>0.47070000000000001</v>
    <v>-0.03</v>
    <v>1.0294000000000001E-2</v>
    <v>-4.2253999999999993E-2</v>
    <v>7.0000000000000001E-3</v>
    <v>USD</v>
    <v>Globavend Holdings Ltd is an e-commerce logistics provider, it formulates and implements integrated, end-to-end, cross-border logistics solutions for its customers with the provision of air freight forwarding services and related logistics services as its principal business. Its business model principally involves the provision of integrated cross-border logistics services, which include air freight forwarding services offered as an integral part thereof; and air freight forwarding services, offered as a modularized logistics service segmented from its integrated cross-border logistics services. Its logistics network covers Hong Kong and four cities in Australia, namely Sydney, Melbourne, Brisbane, and Perth, as well as New Zealand. Its integrated cross-border logistics services also provide related logistics services, which include the provision of supporting transportation for freight forwarding purpose, storage of consignment, labelling of consignments, other related services.</v>
    <v>7</v>
    <v>Nasdaq Stock Market</v>
    <v>XNAS</v>
    <v>XNAS</v>
    <v>Office 1401, Level 14, 197 St Georges Tce, PERTH, WESTERN AUSTRALIA, 6000 AU</v>
    <v>0.72</v>
    <v>Freight &amp; Logistics Services</v>
    <v>Stock</v>
    <v>45723.875007187497</v>
    <v>0.66649999999999998</v>
    <v>10153160</v>
    <v>Globavend Holdings Ltd</v>
    <v>Globavend Holdings Ltd</v>
    <v>0.66649999999999998</v>
    <v>7.3913000000000002</v>
    <v>0.71</v>
    <v>0.68</v>
    <v>0.68700000000000006</v>
    <v>14931120</v>
    <v>GVH</v>
    <v>Globavend Holdings Ltd (XNAS:GVH)</v>
    <v>7427</v>
    <v>38999</v>
    <v>2023</v>
  </rv>
  <rv s="2">
    <v>48</v>
  </rv>
  <rv s="0">
    <v>https://www.bing.com/financeapi/forcetrigger?t=a2kcjc&amp;q=XNAS%3aWAVD&amp;form=skydnc</v>
    <v>Learn more on Bing</v>
  </rv>
  <rv s="4">
    <v>en-US</v>
    <v>a2kcjc</v>
    <v>268435456</v>
    <v>1</v>
    <v>Powered by Refinitiv</v>
    <v>5</v>
    <v>FIREFLY NEUROSCIENCE, INC. (XNAS:AIFF)</v>
    <v>2</v>
    <v>6</v>
    <v>Finance</v>
    <v>27</v>
    <v>17.2</v>
    <v>1.86</v>
    <v>3.3351000000000002</v>
    <v>-0.47</v>
    <v>1.7595E-2</v>
    <v>-0.12113400000000001</v>
    <v>0.06</v>
    <v>USD</v>
    <v>Firefly Neuroscience, Inc. is an artificial intelligence (AI) technology company dedicated to developing neuroscientific solutions that enhance outcomes for patients with mental illnesses and neurological disorders. The Company has developed its FDA-510(k) cleared Brain Network Analytics (BNA) software platform (the BNA Platform) and is focused on advancing diagnostic and treatment approaches for people suffering from mental illnesses and cognitive disorders, including depression, dementia, anxiety disorders, concussions, and attention-deficit/hyperactivity disorder (ADHD). BNA, utilizing AI and an extensive proprietary electroencephalogram (EEG) database, combines the automatic analysis of Event Related Potentials (ERPs), spectral EEG and behavioral performance data for a comprehensive, and objective data-driven brain health evaluation. The BNA Platform, in conjunction with an FDA-cleared EEG system, can provide clinicians with comprehensive insights into brain function (cognition).</v>
    <v>42</v>
    <v>Nasdaq Stock Market</v>
    <v>XNAS</v>
    <v>XNAS</v>
    <v>1100 Military Road, KENMORE, NY, 14217 US</v>
    <v>3.8489</v>
    <v>Software &amp; IT Services</v>
    <v>Stock</v>
    <v>45724.040925624999</v>
    <v>50</v>
    <v>3.23</v>
    <v>27094086</v>
    <v>FIREFLY NEUROSCIENCE, INC.</v>
    <v>FIREFLY NEUROSCIENCE, INC.</v>
    <v>3.82</v>
    <v>0</v>
    <v>3.88</v>
    <v>3.41</v>
    <v>3.47</v>
    <v>7945480</v>
    <v>AIFF</v>
    <v>FIREFLY NEUROSCIENCE, INC. (XNAS:AIFF)</v>
    <v>851448</v>
    <v>14950602</v>
    <v>2021</v>
  </rv>
  <rv s="2">
    <v>51</v>
  </rv>
  <rv s="0">
    <v>https://www.bing.com/financeapi/forcetrigger?t=bwtc7w&amp;q=XNYS%3aBKKT&amp;form=skydnc</v>
    <v>Learn more on Bing</v>
  </rv>
  <rv s="9">
    <v>en-US</v>
    <v>bwtc7w</v>
    <v>268435456</v>
    <v>1</v>
    <v>Powered by Refinitiv</v>
    <v>28</v>
    <v>BAKKT HOLDINGS, INC. (XNYS:BKKT)</v>
    <v>2</v>
    <v>29</v>
    <v>Finance</v>
    <v>16</v>
    <v>37.21</v>
    <v>5.5731999999999999</v>
    <v>5.1631</v>
    <v>-0.68</v>
    <v>-7.0670000000000003E-6</v>
    <v>-4.6007999999999993E-2</v>
    <v>-1E-4</v>
    <v>USD</v>
    <v>Bakkt Holdings, Inc. operates technology that connects the digital economy by offering a platform for crypto and redeeming loyalty points. It enables its clients to deliver new opportunities to their customers through an interactive Web experience or application programming interfaces (API) solutions that unlock crypto and drive loyalty. The Company operates primarily through the Bakkt Marketplace, LLC (Bakkt Marketplace) and Bakkt Crypto Solutions, LLC (Bakkt Crypto). The Company’s platform provides consumers, businesses and institutions with the ability to buy, sell and store crypto in a simple, intuitive digital experience accessed via APIs or embedded Web experience. Bakkt Crypto offers customers the ability to purchase, sell, store and, in approved jurisdictions, deposit and withdraw approved crypto assets, all from within the applications of its clients with whom customers already have a relationship.</v>
    <v>747</v>
    <v>New York Stock Exchange</v>
    <v>XNYS</v>
    <v>XNYS</v>
    <v>10000 Avalon Boulevard, Suite 1000, ALPHARETTA, GA, 30009 US</v>
    <v>14.64</v>
    <v>Financial Technology (Fintech) &amp; Infrastructure</v>
    <v>Stock</v>
    <v>45723.888891330469</v>
    <v>53</v>
    <v>12.64</v>
    <v>193449300</v>
    <v>BAKKT HOLDINGS, INC.</v>
    <v>BAKKT HOLDINGS, INC.</v>
    <v>14.3</v>
    <v>14.78</v>
    <v>14.1</v>
    <v>14.149900000000001</v>
    <v>13671330</v>
    <v>BKKT</v>
    <v>BAKKT HOLDINGS, INC. (XNYS:BKKT)</v>
    <v>350905</v>
    <v>407817</v>
    <v>2021</v>
  </rv>
  <rv s="2">
    <v>54</v>
  </rv>
  <rv s="0">
    <v>https://www.bing.com/financeapi/forcetrigger?t=a1pghw&amp;q=XNAS%3aCELH&amp;form=skydnc</v>
    <v>Learn more on Bing</v>
  </rv>
  <rv s="4">
    <v>en-US</v>
    <v>a1pghw</v>
    <v>268435456</v>
    <v>1</v>
    <v>Powered by Refinitiv</v>
    <v>5</v>
    <v>CELSIUS HOLDINGS, INC. (XNAS:CELH)</v>
    <v>2</v>
    <v>6</v>
    <v>Finance</v>
    <v>27</v>
    <v>99.619900000000001</v>
    <v>21.1</v>
    <v>1.7688999999999999</v>
    <v>1.97</v>
    <v>-1.825E-3</v>
    <v>7.7497999999999997E-2</v>
    <v>-0.05</v>
    <v>USD</v>
    <v>Celsius Holdings, Inc. is engaged in the development, processing, marketing, sale, and distribution of functional energy drinks to a range of consumers. The Company's flagship asset, CELSIUS, is marketed as a fitness drink or supplement which, with exercise, is designed to accelerate metabolism and burn body fat while providing energy. This product line comes in two versions: a ready-to-drink form and an on-the-go powder form. The Company also offers a new CELSIUS Essentials line, available in 16-ounce cans. Celsius products are offered in retail channels across the United States, including conventional grocery, natural, convenience, fitness, mass market, vitamin specialty and e-commerce. Additionally, the Company's products are also offered in certain Canadian, European, Middle Eastern and Asia-Pacific markets. Its product's formulation includes ingredients and supplements such as green tea (EGCG), ginger (from the root), calcium, chromium, B vitamins and vitamin C.</v>
    <v>1073</v>
    <v>Nasdaq Stock Market</v>
    <v>XNAS</v>
    <v>XNAS</v>
    <v>2424 N. Federal Hwy, Suite 208, BOCA RATON, FL, 33431 US</v>
    <v>27.42</v>
    <v>Beverages</v>
    <v>Stock</v>
    <v>45723.909472870313</v>
    <v>56</v>
    <v>25.3</v>
    <v>6440204000</v>
    <v>CELSIUS HOLDINGS, INC.</v>
    <v>CELSIUS HOLDINGS, INC.</v>
    <v>25.32</v>
    <v>61.138399999999997</v>
    <v>25.42</v>
    <v>27.39</v>
    <v>27.34</v>
    <v>235129700</v>
    <v>CELH</v>
    <v>CELSIUS HOLDINGS, INC. (XNAS:CELH)</v>
    <v>7847470</v>
    <v>13199092</v>
    <v>2005</v>
  </rv>
  <rv s="2">
    <v>57</v>
  </rv>
  <rv s="0">
    <v>https://www.bing.com/financeapi/forcetrigger?t=br1oec&amp;q=XNAS%3aBHAT&amp;form=skydnc</v>
    <v>Learn more on Bing</v>
  </rv>
  <rv s="4">
    <v>en-US</v>
    <v>br1oec</v>
    <v>268435456</v>
    <v>1</v>
    <v>Powered by Refinitiv</v>
    <v>5</v>
    <v>BLUE HAT INTERACTIVE ENTERTAINMENT TECHNOLOGY (XNAS:BHAT)</v>
    <v>2</v>
    <v>6</v>
    <v>Finance</v>
    <v>27</v>
    <v>1.45</v>
    <v>3.1600000000000003E-2</v>
    <v>0.84970000000000001</v>
    <v>6.9999999999999999E-4</v>
    <v>-5.3490000000000005E-3</v>
    <v>1.9178000000000001E-2</v>
    <v>-1.9900000000000001E-4</v>
    <v>USD</v>
    <v>Blue Hat Interactive Entertainment Technology is a producer, developer and operator of augmented reality (AR) interactive entertainment games and toys in China, including interactive educational materials, mobile games, and toys with mobile game features. The Company mainly engaged in interactive toys, including animation and game series, mobile games and animation design services.</v>
    <v>16</v>
    <v>Nasdaq Stock Market</v>
    <v>XNAS</v>
    <v>XNAS</v>
    <v>7Th Floor, Building C, No. 1010,, Anling Road, XIAMEN, FUJIAN CN</v>
    <v>3.7600000000000001E-2</v>
    <v>Leisure Products</v>
    <v>Stock</v>
    <v>45724.041302164063</v>
    <v>59</v>
    <v>3.5000000000000003E-2</v>
    <v>18370141</v>
    <v>BLUE HAT INTERACTIVE ENTERTAINMENT TECHNOLOGY</v>
    <v>BLUE HAT INTERACTIVE ENTERTAINMENT TECHNOLOGY</v>
    <v>3.61E-2</v>
    <v>0</v>
    <v>3.6499999999999998E-2</v>
    <v>3.7199999999999997E-2</v>
    <v>3.6999999999999998E-2</v>
    <v>493821000</v>
    <v>BHAT</v>
    <v>BLUE HAT INTERACTIVE ENTERTAINMENT TECHNOLOGY (XNAS:BHAT)</v>
    <v>18300564</v>
    <v>167605515</v>
    <v>2018</v>
  </rv>
  <rv s="2">
    <v>60</v>
  </rv>
  <rv s="0">
    <v>https://www.bing.com/financeapi/forcetrigger?t=a1u2mw&amp;q=XNYS%3aGNW&amp;form=skydnc</v>
    <v>Learn more on Bing</v>
  </rv>
  <rv s="4">
    <v>en-US</v>
    <v>a1u2mw</v>
    <v>268435456</v>
    <v>1</v>
    <v>Powered by Refinitiv</v>
    <v>5</v>
    <v>GENWORTH FINANCIAL, INC. (XNYS:GNW)</v>
    <v>2</v>
    <v>6</v>
    <v>Finance</v>
    <v>16</v>
    <v>7.9</v>
    <v>5.67</v>
    <v>1.0011000000000001</v>
    <v>1.4999999999999999E-2</v>
    <v>-7.5079999999999999E-3</v>
    <v>2.2589999999999997E-3</v>
    <v>-0.05</v>
    <v>USD</v>
    <v>Genworth Financial, Inc., through its principal insurance subsidiaries, offers mortgage and long-term care insurance products. The Company is the holding company of Enact Holdings. The Company operates through three segments: Enact, Long-Term Care Insurance Segment and Life and Annuities. Through Enact Holdings and its mortgage insurance subsidiaries, Enact segment provides private mortgage insurance products and services. The segment is engaged in the business of writing and assuming residential mortgage guaranty insurance. Long-Term Care Insurance Segment includes long-term care insurance products. The segment offers individual long-term care insurance policies. Life and Annuities segment offers a variety of protection and retirement income products through its principal United States life insurance subsidiaries. The segment includes traditional and non-traditional life insurance, fixed annuities and variable annuities.</v>
    <v>2960</v>
    <v>New York Stock Exchange</v>
    <v>XNYS</v>
    <v>XNYS</v>
    <v>11011 WEST BROAD STREET, GLEN ALLEN, VA, 23060 US</v>
    <v>6.7149999999999999</v>
    <v>Insurance</v>
    <v>Stock</v>
    <v>45723.946069698439</v>
    <v>62</v>
    <v>6.55</v>
    <v>2789543000</v>
    <v>GENWORTH FINANCIAL, INC.</v>
    <v>GENWORTH FINANCIAL, INC.</v>
    <v>6.64</v>
    <v>9.5480999999999998</v>
    <v>6.64</v>
    <v>6.6550000000000002</v>
    <v>6.61</v>
    <v>418850300</v>
    <v>GNW</v>
    <v>GENWORTH FINANCIAL, INC. (XNYS:GNW)</v>
    <v>6266842</v>
    <v>5038786</v>
    <v>2012</v>
  </rv>
  <rv s="2">
    <v>63</v>
  </rv>
  <rv s="0">
    <v>https://www.bing.com/financeapi/forcetrigger?t=c458mw&amp;q=XNYS%3aSG&amp;form=skydnc</v>
    <v>Learn more on Bing</v>
  </rv>
  <rv s="9">
    <v>en-US</v>
    <v>c458mw</v>
    <v>268435456</v>
    <v>1</v>
    <v>Powered by Refinitiv</v>
    <v>28</v>
    <v>SWEETGREEN, INC. (XNYS:SG)</v>
    <v>2</v>
    <v>29</v>
    <v>Finance</v>
    <v>16</v>
    <v>45.12</v>
    <v>18.440000000000001</v>
    <v>2.3973</v>
    <v>0.39</v>
    <v>1.2948999999999999E-2</v>
    <v>1.6567999999999999E-2</v>
    <v>0.31</v>
    <v>USD</v>
    <v>Sweetgreen, Inc. is a restaurant company. The Company, along with its subsidiaries, is engaged in developing a restaurant and lifestyle brand that serves healthy food at scale. It owns and operates approximately 221 restaurants in 18 states and Washington, D.C. It offers signature salads, warm bowls, and plates that are complemented by a seasonal menu that changes five times per year. In Addition, it offers diversified menu to provide customers with a variety of options, including broths, soups, desserts and beverages. It is also engaged in offering consumer packaged goods, such as dressing, sauces, or packaged produce. Its menu offering includes Core menu and Seasonal menu. The Core menu consists of Harvest Bowl, Kale Caesar, Shroomami, Guacamole Greens, Buffalo Chicken Bowl, Fish Taco, Crisp Rice Bowl, Chicken Pesto Parm, Super Green Goddess, Garden Cobb and Hot Honey Chicken. The Seasonal menu consists of Crispy Chicken, Elote Bowl, and Summer Fruits &amp; Burrata.</v>
    <v>6407</v>
    <v>New York Stock Exchange</v>
    <v>XNYS</v>
    <v>XNYS</v>
    <v>3101 W. Exposition Boulevard, LOS ANGELES, CA, 90018 US</v>
    <v>24.2</v>
    <v>Hotels &amp; Entertainment Services</v>
    <v>Stock</v>
    <v>45724.022660786715</v>
    <v>65</v>
    <v>21.9</v>
    <v>2808239000</v>
    <v>SWEETGREEN, INC.</v>
    <v>SWEETGREEN, INC.</v>
    <v>22.86</v>
    <v>23.54</v>
    <v>23.93</v>
    <v>24.25</v>
    <v>117303200</v>
    <v>SG</v>
    <v>SWEETGREEN, INC. (XNYS:SG)</v>
    <v>5905515</v>
    <v>4413631</v>
    <v>2007</v>
  </rv>
  <rv s="2">
    <v>66</v>
  </rv>
  <rv s="0">
    <v>https://www.bing.com/financeapi/forcetrigger?t=azgv7w&amp;q=XNYS%3aSPOT&amp;form=skydnc</v>
    <v>Learn more on Bing</v>
  </rv>
  <rv s="4">
    <v>en-US</v>
    <v>azgv7w</v>
    <v>268435456</v>
    <v>1</v>
    <v>Powered by Refinitiv</v>
    <v>5</v>
    <v>Spotify Technology SA (XNYS:SPOT)</v>
    <v>2</v>
    <v>6</v>
    <v>Finance</v>
    <v>16</v>
    <v>652.62789999999995</v>
    <v>249.58</v>
    <v>1.7777000000000001</v>
    <v>-11.7</v>
    <v>-8.7770000000000001E-3</v>
    <v>-2.1530999999999998E-2</v>
    <v>-4.67</v>
    <v>USD</v>
    <v>Spotify Technology SA a Luxembourg-based company, which offers digital music-streaming services. The Company enables users to discover new releases, which includes the latest singles and albums; playlists, which includes ready-made playlists put together by music fans and experts, and over millions of songs so that users can play their favorites, discover new tracks and build a personalized collection. Its users can either select Spotify Free, which includes only shuffle play or Spotify Premium, which encompasses a range of features, such as shuffle play, advertisement free, unlimited skips, listen offline, play any track and audio. The Company operates through a number of subsidiaries, including Spotify LTD and is present in over 20 countries. Its service offers a music listening experience without commercial breaks.</v>
    <v>7691</v>
    <v>New York Stock Exchange</v>
    <v>XNYS</v>
    <v>XNYS</v>
    <v>5 Place De La Gare, LUXEMBOURG, 1616 LU</v>
    <v>548.84</v>
    <v>Software &amp; IT Services</v>
    <v>Stock</v>
    <v>45723.907579964842</v>
    <v>68</v>
    <v>506.49</v>
    <v>108924600000</v>
    <v>Spotify Technology SA</v>
    <v>Spotify Technology SA</v>
    <v>540.52</v>
    <v>93.525300000000001</v>
    <v>543.41</v>
    <v>531.71</v>
    <v>527.42999999999995</v>
    <v>204707100</v>
    <v>SPOT</v>
    <v>Spotify Technology SA (XNYS:SPOT)</v>
    <v>3827023</v>
    <v>2445067</v>
    <v>2007</v>
  </rv>
  <rv s="2">
    <v>69</v>
  </rv>
  <rv s="0">
    <v>https://www.bing.com/financeapi/forcetrigger?t=a2z4lh&amp;q=OTCM%3aTSSI&amp;form=skydnc</v>
    <v>Learn more on Bing</v>
  </rv>
  <rv s="4">
    <v>en-US</v>
    <v>a2z4lh</v>
    <v>268435456</v>
    <v>1</v>
    <v>Powered by Refinitiv</v>
    <v>5</v>
    <v>TSS, INC. (XNAS:TSSI)</v>
    <v>2</v>
    <v>6</v>
    <v>Finance</v>
    <v>16</v>
    <v>18.260000000000002</v>
    <v>0.43020000000000003</v>
    <v>0.79190000000000005</v>
    <v>0.71</v>
    <v>-4.3158000000000002E-2</v>
    <v>8.0774000000000012E-2</v>
    <v>-0.41</v>
    <v>USD</v>
    <v>TSS, Inc. is a data center services company that integrates high-performance computing infrastructure and software. The Company's segments include facilities, and systems integration. Facilities segment is involved in the design, project management and maintenance of data center and mission-critical business operations. Systems integration segment integrates information technology (IT) equipment for original equipment manufacturer vendors and customers to be used inside data center environments, including modular data centers. Its services include rack and systems integration, configuration services, data center and modular data center facility management integrations, deployment and maintenance services, strategic procurement services, project management and technology consulting, design and engineering services. Its IT solutions can be deployed in a variety of physical settings such as data centers, co-location facilities, server rooms, modular or edge-based solutions and others.</v>
    <v>81</v>
    <v>Nasdaq Stock Market</v>
    <v>XNAS</v>
    <v>XNAS</v>
    <v>110 E Old Settlers Blvd Ste 100, ROUND ROCK, TX, 78664-2632 US</v>
    <v>9.6199999999999992</v>
    <v>Professional &amp; Commercial Services</v>
    <v>Stock</v>
    <v>45723.988663159376</v>
    <v>71</v>
    <v>8.81</v>
    <v>213490400</v>
    <v>TSS, INC.</v>
    <v>TSS, INC.</v>
    <v>8.82</v>
    <v>47.523800000000001</v>
    <v>8.7899999999999991</v>
    <v>9.5</v>
    <v>9.09</v>
    <v>22472680</v>
    <v>TSSI</v>
    <v>TSS, INC. (XNAS:TSSI)</v>
    <v>1114184</v>
    <v>1254406</v>
    <v>2004</v>
  </rv>
  <rv s="2">
    <v>72</v>
  </rv>
  <rv s="0">
    <v>https://www.bing.com/financeapi/forcetrigger?t=a1r51h&amp;q=XNAS%3aDLHC&amp;form=skydnc</v>
    <v>Learn more on Bing</v>
  </rv>
  <rv s="4">
    <v>en-US</v>
    <v>a1r51h</v>
    <v>268435456</v>
    <v>1</v>
    <v>Powered by Refinitiv</v>
    <v>5</v>
    <v>DLH HOLDINGS CORP. (XNAS:DLHC)</v>
    <v>2</v>
    <v>6</v>
    <v>Finance</v>
    <v>27</v>
    <v>15.1</v>
    <v>4.7350000000000003</v>
    <v>1.3767</v>
    <v>0.35</v>
    <v>0</v>
    <v>7.1869000000000002E-2</v>
    <v>0</v>
    <v>USD</v>
    <v>DLH Holdings Corp. is a provider of science research and development, systems engineering and integration, and digital transformation and cyber security solutions to federal agencies. The Company is focused on improved deployment of health and defense initiatives for multiple agencies within the federal government, including the Department of Health and Human Services and Department of Defense. Its digital transformation and cyber security solutions include tools, such as artificial intelligence and machine learning, cloud enablement, cybersecurity ecosystem, big data analytics, and modeling and simulation. The Company's science research and development solutions include data analytics, testing and evaluation, clinical trials research services, and epidemiology studies. Its systems engineering and integration solutions include system modernization, modeling, simulation &amp; training, technology-enabled health solutions, software development, and robotics and unmanned systems.</v>
    <v>2800</v>
    <v>Nasdaq Stock Market</v>
    <v>XNAS</v>
    <v>XNAS</v>
    <v>3565 Piedmont Road, Ne, Building 3, Suite 700, ATLANTA, GA, 30305 US</v>
    <v>5.23</v>
    <v>Software &amp; IT Services</v>
    <v>Stock</v>
    <v>45723.876451503907</v>
    <v>74</v>
    <v>4.7960000000000003</v>
    <v>75097373</v>
    <v>DLH HOLDINGS CORP.</v>
    <v>DLH HOLDINGS CORP.</v>
    <v>4.87</v>
    <v>11.9162</v>
    <v>4.87</v>
    <v>5.22</v>
    <v>5.22</v>
    <v>14386470</v>
    <v>DLHC</v>
    <v>DLH HOLDINGS CORP. (XNAS:DLHC)</v>
    <v>43489</v>
    <v>54033</v>
    <v>1969</v>
  </rv>
  <rv s="2">
    <v>75</v>
  </rv>
  <rv s="0">
    <v>https://www.bing.com/financeapi/forcetrigger?t=c23w2w&amp;q=XNAS%3aBYTS&amp;form=skydnc</v>
    <v>Learn more on Bing</v>
  </rv>
  <rv s="4">
    <v>en-US</v>
    <v>c23w2w</v>
    <v>268435456</v>
    <v>1</v>
    <v>Powered by Refinitiv</v>
    <v>5</v>
    <v>AIRSHIP AI HOLDINGS, INC. (XNAS:AISP)</v>
    <v>2</v>
    <v>6</v>
    <v>Finance</v>
    <v>27</v>
    <v>14.3188</v>
    <v>1.9</v>
    <v>0.16339999999999999</v>
    <v>0.20499999999999999</v>
    <v>1.0014E-2</v>
    <v>6.2309999999999997E-2</v>
    <v>3.5000000000000003E-2</v>
    <v>USD</v>
    <v>Airship AI Holdings, Inc. is a technology company. The Company offers an artificial intelligence (AI)-driven video, sensor and data management surveillance platform that improves public safety and operational efficiency for public sector and commercial customers by providing predictive analysis of events before they occur. It specializes in ingesting all available metadata from edge-based sensors used by government and law enforcement agencies around the world, including surveillance cameras (video), audio, telemetry, acoustic, seismic, and autonomous devices, along with large commercial corporations with fundamentally similar capabilities and requirements. Its product suite includes Outpost AI edge hardware and software offerings, Acropolis enterprise management software stack, and Command family of visualization tools. Its offerings allow customers to manage their data across the full data lifecycle, when and where they need it, using a secure permissioned-based architecture.</v>
    <v>53</v>
    <v>Nasdaq Stock Market</v>
    <v>XNAS</v>
    <v>XNAS</v>
    <v>8210 154Th Ave Ne, REDMOND, WA, 98052 US</v>
    <v>3.57</v>
    <v>Software &amp; IT Services</v>
    <v>Stock</v>
    <v>45724.035776006247</v>
    <v>77</v>
    <v>3.26</v>
    <v>110963900</v>
    <v>AIRSHIP AI HOLDINGS, INC.</v>
    <v>AIRSHIP AI HOLDINGS, INC.</v>
    <v>3.26</v>
    <v>0</v>
    <v>3.29</v>
    <v>3.4950000000000001</v>
    <v>3.53</v>
    <v>31749320</v>
    <v>AISP</v>
    <v>AIRSHIP AI HOLDINGS, INC. (XNAS:AISP)</v>
    <v>828235</v>
    <v>1922121</v>
    <v>2023</v>
  </rv>
  <rv s="2">
    <v>78</v>
  </rv>
  <rv s="3">
    <v>12</v>
    <v>Ticker symbol</v>
    <v>0</v>
  </rv>
  <rv s="3">
    <v>12</v>
    <v>Industry</v>
    <v>0</v>
  </rv>
  <rv s="3">
    <v>12</v>
    <v>Market cap</v>
    <v>0</v>
  </rv>
  <rv s="3">
    <v>12</v>
    <v>Price</v>
    <v>0</v>
  </rv>
  <rv s="3">
    <v>12</v>
    <v>Change (%)</v>
    <v>0</v>
  </rv>
  <rv s="3">
    <v>12</v>
    <v>Volume</v>
    <v>0</v>
  </rv>
  <rv s="3">
    <v>12</v>
    <v>Volume average</v>
    <v>0</v>
  </rv>
  <rv s="3">
    <v>12</v>
    <v>Shares outstanding</v>
    <v>0</v>
  </rv>
  <rv s="3">
    <v>12</v>
    <v>Year incorporated</v>
    <v>0</v>
  </rv>
  <rv s="3">
    <v>12</v>
    <v>Exchange</v>
    <v>0</v>
  </rv>
  <rv s="3">
    <v>12</v>
    <v>Headquarters</v>
    <v>0</v>
  </rv>
  <rv s="10">
    <v>en-US</v>
    <v>c87pqh</v>
    <v>268435456</v>
    <v>1</v>
    <v>Powered by Refinitiv</v>
    <v>30</v>
    <v>Global Mofy AI Limited (XNAS:GMM)</v>
    <v>9</v>
    <v>31</v>
    <v>Finance</v>
    <v>27</v>
    <v>45.75</v>
    <v>3.01</v>
    <v>0.06</v>
    <v>2.8410000000000002E-3</v>
    <v>1.7340999999999999E-2</v>
    <v>0.01</v>
    <v>USD</v>
    <v>Global Mofy Metaverse Ltd is a China-based technology solutions provider engaged in virtual content production, digital marketing and digital assets development for the metaverse industry. Utilizing its technology platform Mofy Lab, the Company creates three-dimensional (3D) high definition virtual version of physical world objects such as human, animal and scenes. The Company primarily operates its businesses through three segments: Virtual Technology Service segment, Digital Marketing segment and Digital Asset Development segment. Virtual Technology Service segment provides comprehensive technology solutions to assist customers in virtual content production. Digital Marketing segment provides advertisement production and promotion services to customers with integrated digital marketing services. Digital Asset Development segment engages in virtual content production business and opportunistic acquisition of certain digital assets.</v>
    <v>47</v>
    <v>Nasdaq Stock Market</v>
    <v>XNAS</v>
    <v>XNAS</v>
    <v>No. 102, 1St Floor, No. A12, Xidian Memory Cultural And Creative Town, BEIJING, BEIJING, 225300 CN</v>
    <v>3.5642999999999998</v>
    <v>Software &amp; IT Services</v>
    <v>Stock</v>
    <v>45723.87857930547</v>
    <v>3.34</v>
    <v>58689065</v>
    <v>Global Mofy AI Limited</v>
    <v>Global Mofy AI Limited</v>
    <v>3.56</v>
    <v>0.54310000000000003</v>
    <v>3.46</v>
    <v>3.52</v>
    <v>3.53</v>
    <v>16673030</v>
    <v>GMM</v>
    <v>Global Mofy AI Limited (XNAS:GMM)</v>
    <v>30568</v>
    <v>46395</v>
    <v>2021</v>
  </rv>
  <rv s="2">
    <v>91</v>
  </rv>
  <rv s="0">
    <v>https://www.bing.com/financeapi/forcetrigger?t=b116bh&amp;q=XNAS%3aWKEY&amp;form=skydnc</v>
    <v>Learn more on Bing</v>
  </rv>
  <rv s="4">
    <v>en-US</v>
    <v>b116bh</v>
    <v>268435456</v>
    <v>1</v>
    <v>Powered by Refinitiv</v>
    <v>5</v>
    <v>WISeKey International Holding Ltd (XNAS:WKEY)</v>
    <v>2</v>
    <v>6</v>
    <v>Finance</v>
    <v>16</v>
    <v>14</v>
    <v>1.61</v>
    <v>1.0005999999999999</v>
    <v>0.2</v>
    <v>-1.8036E-2</v>
    <v>4.1753999999999999E-2</v>
    <v>-0.09</v>
    <v>USD</v>
    <v>Wisekey International Holding AG is a Switzerland-based e-security company. It offers secure communication solutions for physical infrastructures, mobile networks and the Web, and helps protecting corporate data with archiving, invoicing and other security technologies, securing mobile phone communications and data, among others. The Company also provides identification and authentication solutions, and serves clients from various industries, including defense, health, education, finance, and government. Its product portfolio includes, among others, WISFans, which delivers customized sport contents, WISeID, which is an encryption solution to store usernames, passwords, personal identification numbers (PINs), credit cards, loyalty cards, notes, and other critical information, WISePhone for securing privacy in the area of mobile communication, and WISeAuthentic, which is an anti-counterfeiting and sales monitoring system.</v>
    <v>10</v>
    <v>Nasdaq Stock Market</v>
    <v>XNAS</v>
    <v>XNAS</v>
    <v>General-Guisan-Strasse 6, ZUG, ZUG, 6300 CH</v>
    <v>5.0990000000000002</v>
    <v>Semiconductors &amp; Semiconductor Equipment</v>
    <v>Stock</v>
    <v>45724.022926180471</v>
    <v>93</v>
    <v>4.4800000000000004</v>
    <v>38230470</v>
    <v>WISeKey International Holding Ltd</v>
    <v>WISeKey International Holding Ltd</v>
    <v>5.01</v>
    <v>0</v>
    <v>4.79</v>
    <v>4.99</v>
    <v>4.9000000000000004</v>
    <v>8161090</v>
    <v>WKEY</v>
    <v>WISeKey International Holding Ltd (XNAS:WKEY)</v>
    <v>402848</v>
    <v>318812</v>
    <v>2015</v>
  </rv>
  <rv s="2">
    <v>94</v>
  </rv>
  <rv s="0">
    <v>https://www.bing.com/financeapi/forcetrigger?t=a234r7&amp;q=XNAS%3aSMCI&amp;form=skydnc</v>
    <v>Learn more on Bing</v>
  </rv>
  <rv s="4">
    <v>en-US</v>
    <v>a234r7</v>
    <v>268435456</v>
    <v>1</v>
    <v>Powered by Refinitiv</v>
    <v>5</v>
    <v>SUPER MICRO COMPUTER, INC. (XNAS:SMCI)</v>
    <v>2</v>
    <v>6</v>
    <v>Finance</v>
    <v>16</v>
    <v>122.9</v>
    <v>17.25</v>
    <v>1.1668000000000001</v>
    <v>1.19</v>
    <v>-3.679E-3</v>
    <v>3.2119000000000002E-2</v>
    <v>-0.14069999999999999</v>
    <v>USD</v>
    <v>Super Micro Computer, Inc. is an application-optimized Total IT solution provider. The Company is a provider of accelerated compute platforms that are comprised of application-optimized server and storage systems for a variety of markets, including enterprise data centers, cloud computing, artificial intelligence (AI), fifth generation (5G) and edge computing. Its Total IT Solutions includes complete servers, storage systems, modular blade servers, blades, workstations, full rack scale solutions, networking devices, server sub-systems, server management and security software. It also provides global support and services to help its customers install, upgrade and maintain their computing infrastructure. Its product categories include servers &amp; storage, building blocks, edge, embedded &amp; telecom, networking, and workstations &amp; gaming products. Its servers &amp; storage includes Rackmount Servers, GPU Servers, Twin Servers and Storage Servers. It operates in the United States, Asia and Europe.</v>
    <v>5684</v>
    <v>Nasdaq Stock Market</v>
    <v>XNAS</v>
    <v>XNAS</v>
    <v>980 Rock Avenue, SAN JOSE, CA, 95131 US</v>
    <v>38.49</v>
    <v>Computers, Phones &amp; Household Electronics</v>
    <v>Stock</v>
    <v>45724.041560022655</v>
    <v>96</v>
    <v>35.3628</v>
    <v>22694730000</v>
    <v>SUPER MICRO COMPUTER, INC.</v>
    <v>SUPER MICRO COMPUTER, INC.</v>
    <v>36.369999999999997</v>
    <v>16.7272</v>
    <v>37.049999999999997</v>
    <v>38.24</v>
    <v>38.099299999999999</v>
    <v>593481300</v>
    <v>SMCI</v>
    <v>SUPER MICRO COMPUTER, INC. (XNAS:SMCI)</v>
    <v>59173963</v>
    <v>111690804</v>
    <v>2006</v>
  </rv>
  <rv s="2">
    <v>97</v>
  </rv>
  <rv s="11">
    <v>en-US</v>
    <v>cdlpr7</v>
    <v>268435456</v>
    <v>1</v>
    <v>Powered by Refinitiv</v>
    <v>32</v>
    <v>OneStream, Inc. (XNAS:OS)</v>
    <v>9</v>
    <v>6</v>
    <v>Finance</v>
    <v>27</v>
    <v>35.39</v>
    <v>21.69</v>
    <v>1.5169999999999999</v>
    <v>0.46</v>
    <v>-1.4145000000000001E-2</v>
    <v>2.0114E-2</v>
    <v>-0.33</v>
    <v>USD</v>
    <v>OneStream, Inc. is a provider of a unified, artificial intelligence (AI)-enabled software platform, the Digital Finance Cloud. The Company’s platform unifies core financial and broader operational data and processes within a single platform, with solutions that maintain the integrity of corporate reporting standards for finance while providing operational insights for business users. Its platform automates and streamlines workflows, accelerates analysis and improves forecast accuracy, equipping the office of the CFO to report on, predict and guide business performance. The Digital Finance Cloud empowers the office of the CFO to form a comprehensive, dynamic and predictive view of the entire enterprise, providing corporate leaders the control, visibility and agility required to proactively adjust business strategy and day-to-day execution. Its solutions include financial close and consolidation, financial and operational planning and analysis, and financial and operational reporting.</v>
    <v>1500</v>
    <v>Nasdaq Stock Market</v>
    <v>XNAS</v>
    <v>XNAS</v>
    <v>362 South Street, ROCHESTER, MI, 48307 US</v>
    <v>23.9</v>
    <v>Software &amp; IT Services</v>
    <v>Stock</v>
    <v>45724.011417407033</v>
    <v>22.655000000000001</v>
    <v>5568754000</v>
    <v>OneStream, Inc.</v>
    <v>OneStream, Inc.</v>
    <v>22.74</v>
    <v>0</v>
    <v>22.87</v>
    <v>23.33</v>
    <v>23</v>
    <v>238695000</v>
    <v>OS</v>
    <v>OneStream, Inc. (XNAS:OS)</v>
    <v>2216222</v>
    <v>1929753</v>
    <v>2021</v>
  </rv>
  <rv s="2">
    <v>99</v>
  </rv>
  <rv s="0">
    <v>https://www.bing.com/financeapi/forcetrigger?t=a25kec&amp;q=XNAS%3aVSAT&amp;form=skydnc</v>
    <v>Learn more on Bing</v>
  </rv>
  <rv s="4">
    <v>en-US</v>
    <v>a25kec</v>
    <v>268435456</v>
    <v>1</v>
    <v>Powered by Refinitiv</v>
    <v>5</v>
    <v>VIASAT, INC. (XNAS:VSAT)</v>
    <v>2</v>
    <v>6</v>
    <v>Finance</v>
    <v>16</v>
    <v>26.7</v>
    <v>6.69</v>
    <v>1.1538999999999999</v>
    <v>0.18</v>
    <v>-3.0830000000000002E-3</v>
    <v>1.8848E-2</v>
    <v>-0.03</v>
    <v>USD</v>
    <v>Viasat, Inc. is a global communications company. Its communication services segment provides a wide range of broadband and narrowband communications solutions across government and commercial mobility markets, and for fixed and residential broadband customers. In addition, this segment includes the development and sale of a wide array of advanced satellite and wireless products, and network and terminal solutions that support or enable the provision of fixed and mobile broadband and narrowband services. Its defense and advanced technologies segment develop and offers a diverse array of resilient, vertically integrated solutions to government and commercial customers, leveraging the Company’s technical competencies in encryption, cyber security, tactical gateway, modems and waveforms. The primary business lines in its defense and advanced technologies segment: information security and cyber defense, space and mission systems, tactical networking and advanced technologies and others.</v>
    <v>7500</v>
    <v>Nasdaq Stock Market</v>
    <v>XNAS</v>
    <v>XNAS</v>
    <v>6155 El Camino Real, CARLSBAD, CA, 92009 US</v>
    <v>9.85</v>
    <v>Communications &amp; Networking</v>
    <v>Stock</v>
    <v>45724.018129027347</v>
    <v>101</v>
    <v>9.2100000000000009</v>
    <v>1256338000</v>
    <v>VIASAT, INC.</v>
    <v>VIASAT, INC.</v>
    <v>9.5399999999999991</v>
    <v>0</v>
    <v>9.5500000000000007</v>
    <v>9.73</v>
    <v>9.6999999999999993</v>
    <v>129120000</v>
    <v>VSAT</v>
    <v>VIASAT, INC. (XNAS:VSAT)</v>
    <v>3062266</v>
    <v>4094515</v>
    <v>1996</v>
  </rv>
  <rv s="2">
    <v>102</v>
  </rv>
  <rv s="0">
    <v>https://www.bing.com/financeapi/forcetrigger?t=buqzxm&amp;q=XNAS%3aEOSE&amp;form=skydnc</v>
    <v>Learn more on Bing</v>
  </rv>
  <rv s="4">
    <v>en-US</v>
    <v>buqzxm</v>
    <v>268435456</v>
    <v>1</v>
    <v>Powered by Refinitiv</v>
    <v>5</v>
    <v>EOS ENERGY ENTERPRISES, INC. (XNAS:EOSE)</v>
    <v>2</v>
    <v>6</v>
    <v>Finance</v>
    <v>27</v>
    <v>6.64</v>
    <v>0.61</v>
    <v>2.1215999999999999</v>
    <v>7.0000000000000007E-2</v>
    <v>-2.1740000000000002E-3</v>
    <v>1.5453E-2</v>
    <v>-0.01</v>
    <v>USD</v>
    <v>Eos Energy Enterprises, Inc. designs, develops, manufactures, and markets zinc-based energy storage solutions for utility-scale, microgrid, and commercial and industrial applications. The Company has developed a range of intellectual property with multiple patents covering battery chemistry, mechanical product design, energy block configuration and a software operating system (Battery Management System or BMS). The BMS software uses proprietary Eos-developed algorithms and includes ambient and battery temperature sensors, as well as voltage and electric current sensors for the electrical strings and the system. It focuses on manufacturing and selling turn-key direct current (DC) battery energy storage systems. It also plans to develop a turn-key alternating current (AC) system. The Company offers an advanced Znyth technology battery energy storage system (BESS) designed to provide the operating flexibility to manage increased grid complexity. Its primary market is North America.</v>
    <v>430</v>
    <v>Nasdaq Stock Market</v>
    <v>XNAS</v>
    <v>XNAS</v>
    <v>3920 Park Avenue, EDISON, NJ, 08820 US</v>
    <v>4.7</v>
    <v>Machinery, Equipment &amp; Components</v>
    <v>Stock</v>
    <v>45724.04155966406</v>
    <v>104</v>
    <v>4.26</v>
    <v>1042357000</v>
    <v>EOS ENERGY ENTERPRISES, INC.</v>
    <v>EOS ENERGY ENTERPRISES, INC.</v>
    <v>4.51</v>
    <v>0</v>
    <v>4.53</v>
    <v>4.5999999999999996</v>
    <v>4.59</v>
    <v>226599300</v>
    <v>EOSE</v>
    <v>EOS ENERGY ENTERPRISES, INC. (XNAS:EOSE)</v>
    <v>5707530</v>
    <v>6790276</v>
    <v>1970</v>
  </rv>
  <rv s="2">
    <v>105</v>
  </rv>
  <rv s="0">
    <v>https://www.bing.com/financeapi/forcetrigger?t=btvpdm&amp;q=XNYS%3aAEVA&amp;form=skydnc</v>
    <v>Learn more on Bing</v>
  </rv>
  <rv s="4">
    <v>en-US</v>
    <v>btvpdm</v>
    <v>268435456</v>
    <v>1</v>
    <v>Powered by Refinitiv</v>
    <v>5</v>
    <v>AEVA TECHNOLOGIES, INC. (XNAS:AEVA)</v>
    <v>2</v>
    <v>6</v>
    <v>Finance</v>
    <v>27</v>
    <v>7.25</v>
    <v>2.2006999999999999</v>
    <v>1.6003000000000001</v>
    <v>0.04</v>
    <v>2.2109E-2</v>
    <v>1.2945E-2</v>
    <v>6.9199999999999998E-2</v>
    <v>USD</v>
    <v>Aeva Technologies, Inc. is engaged in the design, manufacturing and sale of LiDAR sensing systems and related perception and autonomy-enabling software solutions serving customers in automotive, industrial, and other markets. The Company’s sensing and perception technology integrates all key LiDAR components onto a silicon photonics chip in a compact module. Its 4D LiDAR sensors detect instant velocity in addition to 3D position, allowing autonomous devices like vehicles and robots to make more intelligent and safe decisions. The Company, through its frequency modulated continuous wave (FMCW) sensing technology, enables the adoption of LiDAR across broad applications. Its product, Aeries II is a 4D LiDAR solution, consisting of its 4D LiDAR sensing system with embedded software designed for automotive grade production across passenger car, trucking, and mobility applications. Atlas is its FMCW 4D LiDAR with simultaneous velocity and range detection targeted for the automotive market.</v>
    <v>301</v>
    <v>Nasdaq Stock Market</v>
    <v>XNAS</v>
    <v>XNAS</v>
    <v>555 Ellis Street, MOUNTAIN VIEW, CA, 94043 US</v>
    <v>3.16</v>
    <v>Communications &amp; Networking</v>
    <v>Stock</v>
    <v>45723.89313545078</v>
    <v>107</v>
    <v>2.97</v>
    <v>168653200</v>
    <v>AEVA TECHNOLOGIES, INC.</v>
    <v>AEVA TECHNOLOGIES, INC.</v>
    <v>3.09</v>
    <v>0</v>
    <v>3.09</v>
    <v>3.13</v>
    <v>3.1991999999999998</v>
    <v>53882800</v>
    <v>AEVA</v>
    <v>AEVA TECHNOLOGIES, INC. (XNAS:AEVA)</v>
    <v>445641</v>
    <v>326014</v>
    <v>2019</v>
  </rv>
  <rv s="2">
    <v>108</v>
  </rv>
  <rv s="10">
    <v>en-US</v>
    <v>c9vow7</v>
    <v>268435456</v>
    <v>1</v>
    <v>Powered by Refinitiv</v>
    <v>30</v>
    <v>Intelligent Group Limited (XNAS:INTJ)</v>
    <v>9</v>
    <v>31</v>
    <v>Finance</v>
    <v>16</v>
    <v>7.87</v>
    <v>0.71719999999999995</v>
    <v>8.3000000000000001E-3</v>
    <v>-9.8790000000000011E-4</v>
    <v>1.0366E-2</v>
    <v>-8.0000000000000004E-4</v>
    <v>USD</v>
    <v>Intelligent Group Ltd is a company principally engaged in the provision of public relations consulting services. The Company is engaged in the provision of corporate and financial communications services, initial public offering (IPO) project planning services and other services. In addition, the Company is engaged in the provision of investor relations, media relations and event planning services.</v>
    <v>17</v>
    <v>Nasdaq Stock Market</v>
    <v>XNAS</v>
    <v>XNAS</v>
    <v>Unit 2803, Level 28, Admiralty Centre, Tower 1, 18 Harcourt Road, Admiralty HK</v>
    <v>0.8105</v>
    <v>Media &amp; Publishing</v>
    <v>Stock</v>
    <v>45723.875010925782</v>
    <v>0.78</v>
    <v>9415080</v>
    <v>Intelligent Group Limited</v>
    <v>Intelligent Group Limited</v>
    <v>0.78</v>
    <v>17.472999999999999</v>
    <v>0.80069999999999997</v>
    <v>0.80900000000000005</v>
    <v>0.80900000000000005</v>
    <v>11625000</v>
    <v>INTJ</v>
    <v>Intelligent Group Limited (XNAS:INTJ)</v>
    <v>4064</v>
    <v>72131</v>
    <v>2018</v>
  </rv>
  <rv s="2">
    <v>110</v>
  </rv>
  <rv s="0">
    <v>https://www.bing.com/financeapi/forcetrigger?t=a1ukoc&amp;q=XNAS%3aNISN&amp;form=skydnc</v>
    <v>Learn more on Bing</v>
  </rv>
  <rv s="4">
    <v>en-US</v>
    <v>a1ukoc</v>
    <v>268435456</v>
    <v>1</v>
    <v>Powered by Refinitiv</v>
    <v>5</v>
    <v>NISUN INTERNATIONAL ENTERPRISE DEVELOPMENT GROUP CO., LTD (XNAS:NISN)</v>
    <v>2</v>
    <v>6</v>
    <v>Finance</v>
    <v>27</v>
    <v>22.55</v>
    <v>3.1423000000000001</v>
    <v>1.6435</v>
    <v>0.37</v>
    <v>0</v>
    <v>5.5639000000000001E-2</v>
    <v>0</v>
    <v>USD</v>
    <v>Nisun International Enterprise Development Group Co Ltd, formerly Hebron Technology Co Ltd, is a holding company mainly engaged in providing comprehensive technology solutions and services. The Company provides innovative comprehensive solutions for financial institutions, small and micro businesses, and individuals in China by integrating technology, industry, and finance. Through its subsidiaries, the Company provides fintech services, consulting services, business services, and intermediary services to clients in a variety of industries. Its innovations include an open fintech ecosystem for financial institutions, a credit system, an efficient liquidity system for the agriculture sector, and financial advisory intermediary services.</v>
    <v>206</v>
    <v>Nasdaq Stock Market</v>
    <v>XNAS</v>
    <v>XNAS</v>
    <v>21F, 55 Loushanguan Rd, Changning District, SHANGHAI, SHANGHAI, 200336 CN</v>
    <v>7.05</v>
    <v>Financial Technology (Fintech) &amp; Infrastructure</v>
    <v>Stock</v>
    <v>45723.878529524998</v>
    <v>112</v>
    <v>6.5</v>
    <v>32658443</v>
    <v>NISUN INTERNATIONAL ENTERPRISE DEVELOPMENT GROUP CO., LTD</v>
    <v>NISUN INTERNATIONAL ENTERPRISE DEVELOPMENT GROUP CO., LTD</v>
    <v>6.75</v>
    <v>1.5857000000000001</v>
    <v>6.65</v>
    <v>7.02</v>
    <v>7.02</v>
    <v>4652200</v>
    <v>NISN</v>
    <v>NISUN INTERNATIONAL ENTERPRISE DEVELOPMENT GROUP CO., LTD (XNAS:NISN)</v>
    <v>23374</v>
    <v>54632</v>
    <v>2012</v>
  </rv>
  <rv s="2">
    <v>113</v>
  </rv>
  <rv s="0">
    <v>https://www.bing.com/financeapi/forcetrigger?t=a1xk9c&amp;q=XNAS%3aMGIC&amp;form=skydnc</v>
    <v>Learn more on Bing</v>
  </rv>
  <rv s="4">
    <v>en-US</v>
    <v>a1xk9c</v>
    <v>268435456</v>
    <v>1</v>
    <v>Powered by Refinitiv</v>
    <v>5</v>
    <v>MAGIC SOFTWARE ENTERPRISES LTD. (XNAS:MGIC)</v>
    <v>2</v>
    <v>33</v>
    <v>Finance</v>
    <v>27</v>
    <v>13.46</v>
    <v>9.51</v>
    <v>0.55759999999999998</v>
    <v>0.06</v>
    <v>0</v>
    <v>5.0680000000000005E-3</v>
    <v>0</v>
    <v>USD</v>
    <v>Magic Software Enterprises Ltd. is a provider of application development, business process integration platforms, vertical software solutions and related professional services. The Company is a vendor of information technology (IT) outsourcing services. Its software technology is used by customers to develop, deploy and integrate on premise, mobile and cloud-based business. It operates through two segments: software solutions and IT professional services. The software services segment includes software technology and complementary services. The IT professional services segment offers IT services in the areas of infrastructure design and delivery, application development, technology planning and implementation services, and communications services and solutions. Its product portfolio includes Magic xpa Application Platform, AppBuilder Application Platform and Magic xpi Integration Platform. Its vertical software packages include Leap, Hermes Solution, HR Pulse and MBS Solution.</v>
    <v>3628</v>
    <v>Nasdaq Stock Market</v>
    <v>XNAS</v>
    <v>XNAS</v>
    <v>Yaadut Canada 1 str; Terminal Center, OR YEHUDA, 6037501 IL</v>
    <v>11.92</v>
    <v>Software &amp; IT Services</v>
    <v>Stock</v>
    <v>45723.930053240627</v>
    <v>115</v>
    <v>11.65</v>
    <v>2128763000</v>
    <v>MAGIC SOFTWARE ENTERPRISES LTD.</v>
    <v>MAGIC SOFTWARE ENTERPRISES LTD.</v>
    <v>11.83</v>
    <v>15.7783</v>
    <v>11.84</v>
    <v>11.9</v>
    <v>11.9</v>
    <v>49099310</v>
    <v>MGIC</v>
    <v>MAGIC SOFTWARE ENTERPRISES LTD. (XNAS:MGIC)</v>
    <v>32397</v>
    <v>36989</v>
    <v>1983</v>
  </rv>
  <rv s="2">
    <v>116</v>
  </rv>
  <rv s="0">
    <v>https://www.bing.com/financeapi/forcetrigger?t=c3rpfr&amp;q=XNAS%3aNRDS&amp;form=skydnc</v>
    <v>Learn more on Bing</v>
  </rv>
  <rv s="4">
    <v>en-US</v>
    <v>c3rpfr</v>
    <v>268435456</v>
    <v>1</v>
    <v>Powered by Refinitiv</v>
    <v>5</v>
    <v>NERDWALLET, INC. (XNAS:NRDS)</v>
    <v>2</v>
    <v>6</v>
    <v>Finance</v>
    <v>27</v>
    <v>16.5</v>
    <v>9.0749999999999993</v>
    <v>1.4097999999999999</v>
    <v>0</v>
    <v>2.1279999999999997E-3</v>
    <v>0</v>
    <v>0.02</v>
    <v>USD</v>
    <v>NerdWallet, Inc. is a personal finance company. The Company provide consumer-driven advice about personal finance through its platform by connecting individuals and small and mid-sized businesses (SMBs) with providers of financial products. The Company offers NerdWallet, a consumer-first platform that empowers consumers and SMBs. The Company's platform delivers a range of financial products, including credit cards, mortgages, insurance, SMB products, personal loans, banking, investing and student loans. Its platform uses guidance and machine learning capabilities to help consumers with personalized insights. The Company enables its consumers to access its content and comparison-shopping marketplaces, plus a data-driven app, which helps them stay on top of their finances and save time and money. The Company's NerdWallet platform is available to consumers in the United States, United Kingdom, Canada, and Australia. It also offers mortgage brokerage services.</v>
    <v>650</v>
    <v>Nasdaq Stock Market</v>
    <v>XNAS</v>
    <v>XNAS</v>
    <v>55 Hawthorne Street, 10Th Floor, SAN FRANCISCO, CA, 94105 US</v>
    <v>9.49</v>
    <v>Banking Services</v>
    <v>Stock</v>
    <v>45724.027571296094</v>
    <v>118</v>
    <v>9.0749999999999993</v>
    <v>696613602</v>
    <v>NERDWALLET, INC.</v>
    <v>NERDWALLET, INC.</v>
    <v>9.35</v>
    <v>26.087</v>
    <v>9.4</v>
    <v>9.4</v>
    <v>9.42</v>
    <v>74107830</v>
    <v>NRDS</v>
    <v>NERDWALLET, INC. (XNAS:NRDS)</v>
    <v>501905</v>
    <v>772698</v>
    <v>2010</v>
  </rv>
  <rv s="2">
    <v>119</v>
  </rv>
  <rv s="0">
    <v>https://www.bing.com/financeapi/forcetrigger?t=a1v7pr&amp;q=XNAS%3aICAD&amp;form=skydnc</v>
    <v>Learn more on Bing</v>
  </rv>
  <rv s="4">
    <v>en-US</v>
    <v>a1v7pr</v>
    <v>268435456</v>
    <v>1</v>
    <v>Powered by Refinitiv</v>
    <v>5</v>
    <v>ICAD, INC. (XNAS:ICAD)</v>
    <v>2</v>
    <v>6</v>
    <v>Finance</v>
    <v>27</v>
    <v>3.78</v>
    <v>1.18</v>
    <v>1.7725</v>
    <v>0</v>
    <v>-4.509E-3</v>
    <v>0</v>
    <v>-1.01E-2</v>
    <v>USD</v>
    <v>iCAD, Inc. provides artificial intelligence-powered cancer detection. Its ProFound Breast Health Suite enables medical providers and professionals to accurately and reliably identify where cancer may be hiding. Its Cancer Detection segment solutions include advanced artificial intelligence and image analysis workflow solutions that enable healthcare professionals to better serve patients by identifying pathologies and pinpointing the prevalent cancers earlier, a range of upgradeable computer-aided detection systems and workflow solutions for digital breast tomosynthesis, full-field digital mammography, magnetic resonance imaging and computed tomography. ProFound Suite offers 360-degree solutions for cancer detection, density assessment, and personalized risk evaluation, all based on a 2D or 3D mammogram’s collection of images. ProFound Density Assessment standardizes and simplifies breast density reporting, algorithmically examining a woman’s breast anatomy from the mammogram image.</v>
    <v>67</v>
    <v>Nasdaq Stock Market</v>
    <v>XNAS</v>
    <v>XNAS</v>
    <v>98 Spit Brook Rd Ste 100, NASHUA, NH, 03062-5737 US</v>
    <v>2.2599999999999998</v>
    <v>Healthcare Equipment &amp; Supplies</v>
    <v>Stock</v>
    <v>45723.911528830467</v>
    <v>121</v>
    <v>2.1</v>
    <v>59449667</v>
    <v>ICAD, INC.</v>
    <v>ICAD, INC.</v>
    <v>2.21</v>
    <v>0</v>
    <v>2.2400000000000002</v>
    <v>2.2400000000000002</v>
    <v>2.2299000000000002</v>
    <v>26540030</v>
    <v>ICAD</v>
    <v>ICAD, INC. (XNAS:ICAD)</v>
    <v>274163</v>
    <v>521384</v>
    <v>1984</v>
  </rv>
  <rv s="2">
    <v>122</v>
  </rv>
  <rv s="0">
    <v>https://www.bing.com/financeapi/forcetrigger?t=bwvem7&amp;q=XNAS%3aABNB&amp;form=skydnc</v>
    <v>Learn more on Bing</v>
  </rv>
  <rv s="4">
    <v>en-US</v>
    <v>bwvem7</v>
    <v>268435456</v>
    <v>1</v>
    <v>Powered by Refinitiv</v>
    <v>5</v>
    <v>AIRBNB, INC. (XNAS:ABNB)</v>
    <v>2</v>
    <v>6</v>
    <v>Finance</v>
    <v>27</v>
    <v>170.1</v>
    <v>110.38</v>
    <v>1.1049</v>
    <v>-0.38</v>
    <v>-1.429E-4</v>
    <v>-2.8199999999999996E-3</v>
    <v>-1.9199999999999998E-2</v>
    <v>USD</v>
    <v>Airbnb, Inc. operates a global platform for stays and experiences. The Company’s marketplace model connects hosts and guests online or through mobile devices to book spaces and experiences around the world. The Company has built its platform to onboard new hosts, especially those who previously had not considered hosting. It partners with hosts throughout the process of setting up their listing and provides them with a suite of tools to manage their listings, including scheduling, merchandising, integrated payments, community support, host protection, pricing guidance, and feedback from reviews. Its Website and mobile applications provide its guests with a way to explore a variety of homes and experiences and an easy way to book them. Its technology platform powers its two-sided marketplace and enables its global network of hosts and guests. It owns a trademark portfolio with protection in 220 countries in which it operates for its primary brands, AIRBNB, and its Belo logo.</v>
    <v>7300</v>
    <v>Nasdaq Stock Market</v>
    <v>XNAS</v>
    <v>XNAS</v>
    <v>888 Brannan St., SAN FRANCISCO, CA, 94103 US</v>
    <v>134.72999999999999</v>
    <v>Software &amp; IT Services</v>
    <v>Stock</v>
    <v>45724.039473159377</v>
    <v>124</v>
    <v>130.37</v>
    <v>84738216843</v>
    <v>AIRBNB, INC.</v>
    <v>AIRBNB, INC.</v>
    <v>134.71</v>
    <v>32.718000000000004</v>
    <v>134.77000000000001</v>
    <v>134.38999999999999</v>
    <v>134.3708</v>
    <v>630539600</v>
    <v>ABNB</v>
    <v>AIRBNB, INC. (XNAS:ABNB)</v>
    <v>5616851</v>
    <v>5837920</v>
    <v>2008</v>
  </rv>
  <rv s="2">
    <v>125</v>
  </rv>
  <rv s="0">
    <v>https://www.bing.com/financeapi/forcetrigger?t=c4emgh&amp;q=XNAS%3aARIZ&amp;form=skydnc</v>
    <v>Learn more on Bing</v>
  </rv>
  <rv s="4">
    <v>en-US</v>
    <v>c4emgh</v>
    <v>268435456</v>
    <v>1</v>
    <v>Powered by Refinitiv</v>
    <v>5</v>
    <v>BitFuFu Inc (XNAS:FUFU)</v>
    <v>2</v>
    <v>6</v>
    <v>Finance</v>
    <v>27</v>
    <v>8.6699000000000002</v>
    <v>2.3199999999999998</v>
    <v>3.7280000000000002</v>
    <v>-0.06</v>
    <v>0</v>
    <v>-1.2525999999999999E-2</v>
    <v>0</v>
    <v>USD</v>
    <v>BitFuFu Inc. is a provider of digital asset mining and cloud-mining service. The Company offers a variety of stable and intelligent digital asset mining solutions, including one-stop cloud-mining services and miner hosting services to institutional customers and individual digital asset enthusiasts. It also offers a secure, compliant, and transparent blockchain infrastructure. In addition, the Company has access to a fleet of advanced Bitcoin miners for efficient cloud-mining service to its customers and self-mining for its own account, allowing it to seamlessly adjust business strategies and reduce risk exposure. Leveraging its strategic collaboration with Bitmain Technologies, Ltd. (Bitmain), a cryptocurrency mining hardware manufacturer. The Company’s proprietary Aladdin system handles management and dispatching of hash calculations and has the capacity to simultaneously connect miners and to provide services that resolve critical mining problems.</v>
    <v>29</v>
    <v>Nasdaq Stock Market</v>
    <v>XNAS</v>
    <v>XNAS</v>
    <v>111 North Bridge Road, #15-01, 179098 SG</v>
    <v>4.95</v>
    <v>Financial Technology (Fintech) &amp; Infrastructure</v>
    <v>Stock</v>
    <v>45723.938382117965</v>
    <v>127</v>
    <v>4.55</v>
    <v>770527700</v>
    <v>BitFuFu Inc</v>
    <v>BitFuFu Inc</v>
    <v>4.8600000000000003</v>
    <v>20.8278</v>
    <v>4.79</v>
    <v>4.7300000000000004</v>
    <v>4.7300000000000004</v>
    <v>162902300</v>
    <v>FUFU</v>
    <v>BitFuFu Inc (XNAS:FUFU)</v>
    <v>80643</v>
    <v>139914</v>
    <v>2022</v>
  </rv>
  <rv s="2">
    <v>128</v>
  </rv>
  <rv s="0">
    <v>https://www.bing.com/financeapi/forcetrigger?t=a1xskr&amp;q=XNAS%3aMNDO&amp;form=skydnc</v>
    <v>Learn more on Bing</v>
  </rv>
  <rv s="4">
    <v>en-US</v>
    <v>a1xskr</v>
    <v>268435456</v>
    <v>1</v>
    <v>Powered by Refinitiv</v>
    <v>5</v>
    <v>MIND C.T.I. LTD (XNAS:MNDO)</v>
    <v>2</v>
    <v>6</v>
    <v>Finance</v>
    <v>27</v>
    <v>2.2799999999999998</v>
    <v>1.7000999999999999</v>
    <v>0.65069999999999995</v>
    <v>-1.4999999999999999E-2</v>
    <v>4.9750000000000003E-3</v>
    <v>-7.4070000000000004E-3</v>
    <v>0.01</v>
    <v>USD</v>
    <v>Mind C.T.I. Ltd. develops, manufactures, markets and implements real-time and off-line convergent billing and customer care software solutions. The Company offers its solutions for various types of communication providers, including traditional wireline and wireless, voice over Internet Protocol (VoIP), and broadband IP network operators, long-term evolution (LTE) operators, cable operators and mobile virtual network operators (MVNOs). The Company operates through providing integrated products and services segment. Its product lines include billing and customer care solutions for service providers, and call accounting and call management solutions for enterprises. The Company's convergent billing and customer care solution supports multiple services, including voice, data and content services, as well as prepaid, postpaid and pay-in-advance payment models in a single platform. Prepaid subscribers are offered with a range of services, such as special bundles, rating plans and limits.</v>
    <v>144</v>
    <v>Nasdaq Stock Market</v>
    <v>XNAS</v>
    <v>XNAS</v>
    <v>2 HaCarmel St., YOKNEAM, 2069202 IL</v>
    <v>2.0284</v>
    <v>Software &amp; IT Services</v>
    <v>Stock</v>
    <v>45723.902753750001</v>
    <v>130</v>
    <v>2</v>
    <v>40766478</v>
    <v>MIND C.T.I. LTD</v>
    <v>MIND C.T.I. LTD</v>
    <v>2.02</v>
    <v>9.0241000000000007</v>
    <v>2.0249999999999999</v>
    <v>2.0099999999999998</v>
    <v>2.02</v>
    <v>20281830</v>
    <v>MNDO</v>
    <v>MIND C.T.I. LTD (XNAS:MNDO)</v>
    <v>31528</v>
    <v>50926</v>
    <v>1995</v>
  </rv>
  <rv s="2">
    <v>131</v>
  </rv>
  <rv s="0">
    <v>https://www.bing.com/financeapi/forcetrigger?t=a1x3r7&amp;q=XNAS%3aLPTH&amp;form=skydnc</v>
    <v>Learn more on Bing</v>
  </rv>
  <rv s="4">
    <v>en-US</v>
    <v>a1x3r7</v>
    <v>268435456</v>
    <v>1</v>
    <v>Powered by Refinitiv</v>
    <v>5</v>
    <v>LIGHTPATH TECHNOLOGIES, INC. (XNAS:LPTH)</v>
    <v>2</v>
    <v>6</v>
    <v>Finance</v>
    <v>27</v>
    <v>4.42</v>
    <v>1.04</v>
    <v>1.7413000000000001</v>
    <v>-0.08</v>
    <v>4.5659999999999997E-3</v>
    <v>-3.5242000000000002E-2</v>
    <v>0.01</v>
    <v>USD</v>
    <v>LightPath Technologies, Inc. is a global, vertically integrated provider of optics, photonics and infrared solutions for the industrial, commercial, defense, telecommunications, and medical industries. The Company designs and manufactures optical and infrared components including molded glass aspheric lenses and assemblies, custom molded glass freeform lenses, infrared lenses and thermal imaging assemblies, fused fiber collimators, and BlackDiamond (BD6) chalcogenide-based glass lenses. It also offers custom optical assemblies, including full engineering design support. Its business is organized into four product groups: infrared components, visible components, assemblies and modules, and engineering services. Its infrared product group comprises both molded and turned infrared lenses and assemblies using a variety of infrared glass materials. Its assemblies and modules product group is comprised of other value-added products, including both infrared and visible components.</v>
    <v>304</v>
    <v>Nasdaq Stock Market</v>
    <v>XNAS</v>
    <v>XNAS</v>
    <v>SUITE 100, 2603 CHALLENGER TECH CT, ORLANDO, FL, 32826 US</v>
    <v>2.29</v>
    <v>Office Equipment</v>
    <v>Stock</v>
    <v>45723.93533700156</v>
    <v>133</v>
    <v>2.12</v>
    <v>89458250</v>
    <v>LIGHTPATH TECHNOLOGIES, INC.</v>
    <v>LIGHTPATH TECHNOLOGIES, INC.</v>
    <v>2.25</v>
    <v>0</v>
    <v>2.27</v>
    <v>2.19</v>
    <v>2.2000000000000002</v>
    <v>40848520</v>
    <v>LPTH</v>
    <v>LIGHTPATH TECHNOLOGIES, INC. (XNAS:LPTH)</v>
    <v>181730</v>
    <v>338159</v>
    <v>1992</v>
  </rv>
  <rv s="2">
    <v>134</v>
  </rv>
  <rv s="0">
    <v>https://www.bing.com/financeapi/forcetrigger?t=c3u5nm&amp;q=XNAS%3aEXFY&amp;form=skydnc</v>
    <v>Learn more on Bing</v>
  </rv>
  <rv s="4">
    <v>en-US</v>
    <v>c3u5nm</v>
    <v>268435456</v>
    <v>1</v>
    <v>Powered by Refinitiv</v>
    <v>5</v>
    <v>EXPENSIFY, INC. (XNAS:EXFY)</v>
    <v>2</v>
    <v>6</v>
    <v>Finance</v>
    <v>27</v>
    <v>4.13</v>
    <v>1.24</v>
    <v>1.8232999999999999</v>
    <v>-0.2</v>
    <v>-1.4085E-2</v>
    <v>-5.3333000000000005E-2</v>
    <v>-0.05</v>
    <v>USD</v>
    <v>Expensify, Inc. (Expensify) is engaged in offering a cloud-based expense management software platform that helps businesses to simplify the way they manage money. Its platform is used by people in organizations around the world use Expensify to scan and reimburse receipts from flights, hotels, coffee shops, office supplies and ride shares. It improves the experience of the actual end users of expense management software. It designs Expensify to be easy to set up, integrate, configure, and use from any device, which has enabled it to serve employees of all types and organizations of all sizes, industries, and geographies. It offers simple, transparent, and flexible subscription plans for both individuals and businesses that are completely self-service and payable by credit card. The Company has designed its platform to be used by everyone in an organization, from employees to managers to the finance department. Its individual subscriptions include its track and submit plans.</v>
    <v>115</v>
    <v>Nasdaq Stock Market</v>
    <v>XNAS</v>
    <v>XNAS</v>
    <v>401 Sw 5Th Avenue, PORTLAND, OR, 97204 US</v>
    <v>3.78</v>
    <v>Software &amp; IT Services</v>
    <v>Stock</v>
    <v>45723.986666793753</v>
    <v>136</v>
    <v>3.4</v>
    <v>324514517</v>
    <v>EXPENSIFY, INC.</v>
    <v>EXPENSIFY, INC.</v>
    <v>3.74</v>
    <v>0</v>
    <v>3.75</v>
    <v>3.55</v>
    <v>3.5</v>
    <v>91412540</v>
    <v>EXFY</v>
    <v>EXPENSIFY, INC. (XNAS:EXFY)</v>
    <v>491013</v>
    <v>498471</v>
    <v>2009</v>
  </rv>
  <rv s="2">
    <v>137</v>
  </rv>
  <rv s="0">
    <v>https://www.bing.com/financeapi/forcetrigger?t=a31gm7&amp;q=XNAS%3aVRME&amp;form=skydnc</v>
    <v>Learn more on Bing</v>
  </rv>
  <rv s="4">
    <v>en-US</v>
    <v>a31gm7</v>
    <v>268435456</v>
    <v>1</v>
    <v>Powered by Refinitiv</v>
    <v>5</v>
    <v>VERIFYME, INC. (XNAS:VRME)</v>
    <v>2</v>
    <v>6</v>
    <v>Finance</v>
    <v>16</v>
    <v>5</v>
    <v>0.57840000000000003</v>
    <v>0.47389999999999999</v>
    <v>-5.0700000000000002E-2</v>
    <v>4.1380999999999994E-2</v>
    <v>-6.4958000000000002E-2</v>
    <v>3.0200000000000001E-2</v>
    <v>USD</v>
    <v>VerifyMe, Inc. together with its subsidiaries, PeriShip Global, LLC (PeriShip Global) and Trust Codes Global Limited (Trust Codes Global), is a traceability and customer support services provider using specialized software and process technology. Its segments include Precision Logistics and Authentication. The Precision Logistics and Authentication segments provide specialized logistics for time-and-temperature sensitive products, as well as item level traceability, anti-diversion and anti-counterfeit protection, brand protection and enhancement technology solutions. The Precision Logistics segment specializes in predictive analytics for optimizing delivery of time and temperature- sensitive perishable products. The Precision Logistics segment includes bundled services, such as PeriTrack, Service Center, Pre-Transit Service, Post-Delivery, and Weather/Traffic Service. The Authentication segment specializes in traceability to connect brands with consumers through their products.</v>
    <v>50</v>
    <v>Nasdaq Stock Market</v>
    <v>XNAS</v>
    <v>XNAS</v>
    <v>801 INTERNATIONAL PARKWAY, FIFTH FLOOR, LAKE MARY, FL, 32746 US</v>
    <v>0.75990000000000002</v>
    <v>Software &amp; IT Services</v>
    <v>Stock</v>
    <v>45724.024505717185</v>
    <v>139</v>
    <v>0.7</v>
    <v>9016510</v>
    <v>VERIFYME, INC.</v>
    <v>VERIFYME, INC.</v>
    <v>0.72899999999999998</v>
    <v>0</v>
    <v>0.78049999999999997</v>
    <v>0.7298</v>
    <v>0.76</v>
    <v>12354770</v>
    <v>VRME</v>
    <v>VERIFYME, INC. (XNAS:VRME)</v>
    <v>800987</v>
    <v>748662</v>
    <v>1999</v>
  </rv>
  <rv s="2">
    <v>140</v>
  </rv>
  <rv s="0">
    <v>https://www.bing.com/financeapi/forcetrigger?t=c4efww&amp;q=XNYS%3aBBAI&amp;form=skydnc</v>
    <v>Learn more on Bing</v>
  </rv>
  <rv s="9">
    <v>en-US</v>
    <v>c4efww</v>
    <v>268435456</v>
    <v>1</v>
    <v>Powered by Refinitiv</v>
    <v>28</v>
    <v>BigBear.ai Holdings, Inc. (XNYS:BBAI)</v>
    <v>2</v>
    <v>29</v>
    <v>Finance</v>
    <v>16</v>
    <v>10.36</v>
    <v>1.165</v>
    <v>2.9914000000000001</v>
    <v>-0.83</v>
    <v>5.9880000000000003E-3</v>
    <v>-0.19761900000000002</v>
    <v>0.02</v>
    <v>USD</v>
    <v>BigBear.ai Holdings, Inc. is a provider of artificial intelligence (AI)-powered decision intelligence solutions for national security, supply chain management and digital identity. The Company is a technology-led solutions organization, providing both software and services to its customers. The Company operates through two segments: Cyber &amp; Engineering, Analytics. It combines subject-matter expertise with technology to connect the enterprise, provide insights on process performance and recommendations for managing risk. It offers computer vision, anomaly/event detection, and descriptive and predictive analytics to support operations and break down silos between vendors and systems. The Company’s customers span the public and private sector, including the United States, as well as allied nations' defense and intelligence agencies, border protection, transportation security, manufacturing, distribution and logistics, as well as travel, entertainment and tourism.</v>
    <v>480</v>
    <v>New York Stock Exchange</v>
    <v>XNYS</v>
    <v>XNYS</v>
    <v>7950 Jones Branch Drive, MCLEAN, VA, 22102 US</v>
    <v>3.54</v>
    <v>Software &amp; IT Services</v>
    <v>Stock</v>
    <v>45724.041616758594</v>
    <v>142</v>
    <v>3.13</v>
    <v>840191700</v>
    <v>BigBear.ai Holdings, Inc.</v>
    <v>BigBear.ai Holdings, Inc.</v>
    <v>3.53</v>
    <v>4.2</v>
    <v>3.37</v>
    <v>3.36</v>
    <v>251554400</v>
    <v>BBAI</v>
    <v>BigBear.ai Holdings, Inc. (XNYS:BBAI)</v>
    <v>78654641</v>
    <v>86258709</v>
    <v>2020</v>
  </rv>
  <rv s="2">
    <v>143</v>
  </rv>
  <rv s="0">
    <v>https://www.bing.com/financeapi/forcetrigger?t=a1rfec&amp;q=XNAS%3aDWAC&amp;form=skydnc</v>
    <v>Learn more on Bing</v>
  </rv>
  <rv s="4">
    <v>en-US</v>
    <v>a1rfec</v>
    <v>268435456</v>
    <v>1</v>
    <v>Powered by Refinitiv</v>
    <v>5</v>
    <v>TRUMP MEDIA &amp; TECHNOLOGY GROUP CORP. (XNAS:DJT)</v>
    <v>2</v>
    <v>6</v>
    <v>Finance</v>
    <v>27</v>
    <v>79.38</v>
    <v>11.75</v>
    <v>5.2881</v>
    <v>0.52</v>
    <v>0</v>
    <v>2.3658000000000002E-2</v>
    <v>0</v>
    <v>USD</v>
    <v>Trump Media &amp; Technology Group Corp. (TMTG) is a social media and technology-focused company. The Company's product, Truth Social, is a social media platform where any user can create content, follow other users and engage in an open global conversation. The Company does not restrict whom a user can follow. Additionally, users can be followed by other users without requiring a reciprocal relationship, enhancing the ability of its users to reach a broad audience. Its products and services include Truth Social and Truth+. TMTG operates a TV streaming platform, Truth+, across the entire Truth Social platform-iOS, Android, and the Web. The streaming service relies on TMTG's custom-built content delivery network (CDN), which operates through a data center. TMTG's streaming technology is powered through specially designed infrastructure with its own servers, routers, and software stack. It is also focused on launching Truth.Fi, a financial service and FinTech brand.</v>
    <v>29</v>
    <v>Nasdaq Stock Market</v>
    <v>XNAS</v>
    <v>XNAS</v>
    <v>401 N. Cattlemen Rd., Ste. 200, SARASOTA, FL, 34232 US</v>
    <v>22.6</v>
    <v>Software &amp; IT Services</v>
    <v>Stock</v>
    <v>45724.04155489531</v>
    <v>145</v>
    <v>21.63</v>
    <v>4951471000</v>
    <v>TRUMP MEDIA &amp; TECHNOLOGY GROUP CORP.</v>
    <v>TRUMP MEDIA &amp; TECHNOLOGY GROUP CORP.</v>
    <v>21.9</v>
    <v>0</v>
    <v>21.98</v>
    <v>22.5</v>
    <v>22.5</v>
    <v>220065400</v>
    <v>DJT</v>
    <v>TRUMP MEDIA &amp; TECHNOLOGY GROUP CORP. (XNAS:DJT)</v>
    <v>2541896</v>
    <v>4302200</v>
    <v>2020</v>
  </rv>
  <rv s="2">
    <v>146</v>
  </rv>
  <rv s="12">
    <v>en-US</v>
    <v>cchsh7</v>
    <v>268435456</v>
    <v>1</v>
    <v>Powered by Refinitiv</v>
    <v>34</v>
    <v>REDDIT INC. (XNYS:RDDT)</v>
    <v>9</v>
    <v>29</v>
    <v>Finance</v>
    <v>27</v>
    <v>230.41</v>
    <v>37.35</v>
    <v>2.37</v>
    <v>-16.739999999999998</v>
    <v>-1.194E-3</v>
    <v>-0.111067</v>
    <v>-0.16</v>
    <v>USD</v>
    <v>Reddit, Inc. operates a social platform, Reddit. Reddit is a community of communities. It is built on shared interests, passion, and trust and is home to open and authentic conversations on the Internet. Reddit is a global, digital city where anyone in the world can join a community to learn from one another, engage in authentic conversations, explore passions, research new hobbies, exchange goods and services, create new communities and experiences, share a few laughs, and find belonging. Reddit has thousands of communities, endless conversations, and authentic human connections. Communities on Reddit are organized based on specific interests and are called subreddits. Reddit offers real-time access to evolving and dynamic topics, such as sports, movies, news, fashion, and the latest trends. On Reddit, users can submit, vote, and comment on the topics they care about. It has approximately 100,000+ active communities and approximately 101+ million daily active visitors.</v>
    <v>2233</v>
    <v>New York Stock Exchange</v>
    <v>XNYS</v>
    <v>XNYS</v>
    <v>303 2Nd Street, South Tower, 5Th Floor, SAN FRANCISCO, CA, 94104 US</v>
    <v>148.30000000000001</v>
    <v>Software &amp; IT Services</v>
    <v>Stock</v>
    <v>45723.918705439064</v>
    <v>131.26</v>
    <v>24237560000</v>
    <v>REDDIT INC.</v>
    <v>REDDIT INC.</v>
    <v>147.02000000000001</v>
    <v>150.72</v>
    <v>133.97999999999999</v>
    <v>133.82</v>
    <v>180904300</v>
    <v>RDDT</v>
    <v>REDDIT INC. (XNYS:RDDT)</v>
    <v>13834948</v>
    <v>7079252</v>
    <v>2011</v>
  </rv>
  <rv s="2">
    <v>148</v>
  </rv>
  <rv s="0">
    <v>https://www.bing.com/financeapi/forcetrigger?t=a24c52&amp;q=XNAS%3aTMUS&amp;form=skydnc</v>
    <v>Learn more on Bing</v>
  </rv>
  <rv s="4">
    <v>en-US</v>
    <v>a24c52</v>
    <v>268435456</v>
    <v>1</v>
    <v>Powered by Refinitiv</v>
    <v>5</v>
    <v>T-MOBILE US, INC. (XNAS:TMUS)</v>
    <v>2</v>
    <v>6</v>
    <v>Finance</v>
    <v>27</v>
    <v>276.49</v>
    <v>158.84</v>
    <v>0.6371</v>
    <v>2.29</v>
    <v>-9.4249999999999998E-4</v>
    <v>8.7089999999999997E-3</v>
    <v>-0.25</v>
    <v>USD</v>
    <v>T-Mobile US, Inc. is a provider of wireless communications services, including voice, messaging and data, under its flagship brands, T-Mobile and Metro by T-Mobile, and Mint Mobile, in the United States, Puerto Rico and the United States Virgin Islands. It provides wireless communications services primarily using its 4G Long Term Evolution network and its 5G technology network. It also offers a selection of wireless devices, including handsets, tablets and other mobile communication devices, and accessories for sale, as well as financing through equipment installment plans. Its primary service plan offering is Go5G Plus, which includes unlimited talk, text and data on its network, 5G access at no extra cost, scam protection features and more. In addition to its wireless communications services, the Company also offers high speed Internet, which includes a fixed wireless product that utilizes the excess capacity of its nationwide 5G network. It also provides advertising solutions.</v>
    <v>70000</v>
    <v>Nasdaq Stock Market</v>
    <v>XNAS</v>
    <v>XNAS</v>
    <v>12920 Se 38Th Street, BELLEVUE, WA, 98006 US</v>
    <v>266.60649999999998</v>
    <v>Telecommunications Services</v>
    <v>Stock</v>
    <v>45724.041560289064</v>
    <v>150</v>
    <v>261.3349</v>
    <v>302836443800</v>
    <v>T-MOBILE US, INC.</v>
    <v>T-MOBILE US, INC.</v>
    <v>262.43</v>
    <v>27.1968</v>
    <v>262.95</v>
    <v>265.24</v>
    <v>264.99</v>
    <v>1141745000</v>
    <v>TMUS</v>
    <v>T-MOBILE US, INC. (XNAS:TMUS)</v>
    <v>3289848</v>
    <v>3815100</v>
    <v>2004</v>
  </rv>
  <rv s="2">
    <v>151</v>
  </rv>
  <rv s="0">
    <v>https://www.bing.com/financeapi/forcetrigger?t=a24kar&amp;q=XNAS%3aTSLA&amp;form=skydnc</v>
    <v>Learn more on Bing</v>
  </rv>
  <rv s="4">
    <v>en-US</v>
    <v>a24kar</v>
    <v>268435456</v>
    <v>1</v>
    <v>Powered by Refinitiv</v>
    <v>5</v>
    <v>TESLA, INC. (XNAS:TSLA)</v>
    <v>2</v>
    <v>6</v>
    <v>Finance</v>
    <v>27</v>
    <v>488.53989999999999</v>
    <v>138.80250000000001</v>
    <v>2.6015999999999999</v>
    <v>-0.78</v>
    <v>-8.7560000000000003E-4</v>
    <v>-2.9609999999999997E-3</v>
    <v>-0.23</v>
    <v>USD</v>
    <v>Tesla, Inc. designs, develops, manufactures, sells and leases high-performance fully electric vehicles and energy generation and storage systems, and offers services related to its products. The Company's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after-sales vehicle services, body shop and parts, paid supercharging, vehicle insurance and retail merchandise. Its consumer vehicles include the Model 3, Y, S, X and Cybertruck. The energy generation and storage segment includes the design, manufacture, installation, sales and leasing of solar energy generation and energy storage products and related services and sales of solar energy systems incentives. Its lithium-ion battery energy storage products include Powerwall and Megapack.</v>
    <v>125665</v>
    <v>Nasdaq Stock Market</v>
    <v>XNAS</v>
    <v>XNAS</v>
    <v>1 Tesla Road, AUSTIN, TX, 78725 US</v>
    <v>266.24990000000003</v>
    <v>Automobiles &amp; Auto Parts</v>
    <v>Stock</v>
    <v>45723.930052453128</v>
    <v>153</v>
    <v>250.73</v>
    <v>844882500000</v>
    <v>TESLA, INC.</v>
    <v>TESLA, INC.</v>
    <v>259.32</v>
    <v>128.96209999999999</v>
    <v>263.45</v>
    <v>262.67</v>
    <v>262.44</v>
    <v>3216517000</v>
    <v>TSLA</v>
    <v>TESLA, INC. (XNAS:TSLA)</v>
    <v>102369640</v>
    <v>87952145</v>
    <v>2024</v>
  </rv>
  <rv s="2">
    <v>154</v>
  </rv>
  <rv s="0">
    <v>http://en.wikipedia.org/wiki/Public_domain</v>
    <v>Public domain</v>
  </rv>
  <rv s="0">
    <v>https://en.wikipedia.org/wiki/Microsoft</v>
    <v>Wikipedia</v>
  </rv>
  <rv s="13">
    <v>156</v>
    <v>157</v>
  </rv>
  <rv s="14">
    <v>39</v>
    <v>https://www.bing.com/th?id=AMMS_e6e837c7bf3a77408619758b7447855a&amp;qlt=95</v>
    <v>158</v>
    <v>0</v>
    <v>https://www.bing.com/images/search?form=xlimg&amp;q=microsoft</v>
    <v>Image of MICROSOFT CORPORATION</v>
  </rv>
  <rv s="0">
    <v>https://www.bing.com/financeapi/forcetrigger?t=a1xzim&amp;q=XNAS%3aMSFT&amp;form=skydnc</v>
    <v>Learn more on Bing</v>
  </rv>
  <rv s="15">
    <v>en-US</v>
    <v>a1xzim</v>
    <v>268435456</v>
    <v>1</v>
    <v>Powered by Refinitiv</v>
    <v>35</v>
    <v>MICROSOFT CORPORATION (XNAS:MSFT)</v>
    <v>37</v>
    <v>38</v>
    <v>Finance</v>
    <v>16</v>
    <v>468.35</v>
    <v>381</v>
    <v>0.99419999999999997</v>
    <v>-3.58</v>
    <v>-1.9070000000000001E-3</v>
    <v>-9.0200000000000002E-3</v>
    <v>-0.75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98052-6399 US</v>
    <v>394.8</v>
    <v>159</v>
    <v>Software &amp; IT Services</v>
    <v>Stock</v>
    <v>45724.041476851562</v>
    <v>160</v>
    <v>385.54</v>
    <v>2923860000000</v>
    <v>MICROSOFT CORPORATION</v>
    <v>MICROSOFT CORPORATION</v>
    <v>392.32</v>
    <v>31.681799999999999</v>
    <v>396.89</v>
    <v>393.31</v>
    <v>392.56</v>
    <v>7433982000</v>
    <v>MSFT</v>
    <v>MICROSOFT CORPORATION (XNAS:MSFT)</v>
    <v>22034087</v>
    <v>24814655</v>
    <v>1993</v>
  </rv>
  <rv s="2">
    <v>161</v>
  </rv>
  <rv s="0">
    <v>https://www.bing.com/financeapi/forcetrigger?t=a1ndww&amp;q=XNAS%3aAMD&amp;form=skydnc</v>
    <v>Learn more on Bing</v>
  </rv>
  <rv s="4">
    <v>en-US</v>
    <v>a1ndww</v>
    <v>268435456</v>
    <v>1</v>
    <v>Powered by Refinitiv</v>
    <v>5</v>
    <v>ADVANCED MICRO DEVICES, INC. (XNAS:AMD)</v>
    <v>2</v>
    <v>6</v>
    <v>Finance</v>
    <v>16</v>
    <v>227.3</v>
    <v>95.89</v>
    <v>1.9370000000000001</v>
    <v>1.46</v>
    <v>-1.9940000000000001E-3</v>
    <v>1.477E-2</v>
    <v>-0.2</v>
    <v>USD</v>
    <v>Advanced Micro Devices, Inc. is a global semiconductor company. It is focused on high-performance computing, graphics and visualization technologies. It operates in four segments. The Data Center segment includes artificial intelligence (AI) accelerators, server central processing units (CPUs), graphics processing units (GPUs), accelerated processing units (APUs), data processing units (DPUs), field programmable gate arrays (FPGAs), smart network interface cards (SmartNICs), and Adaptive system-on-chip (SoC) products for data centers. The Client segment primarily includes CPUs, APUs, and chipsets for desktops and notebooks. The Gaming segment primarily includes discrete GPUs, semi-custom SoC products and development services. The Embedded segment includes embedded CPUs, GPUs, APUs, FPGAs, system on modules (SOMs), and Adaptive SoC products. It markets and sells its products under the AMD trademark. Its products include AMD EPYC, AMD Ryzen, AMD Ryzen PRO, Virtex UltraScale+ and others.</v>
    <v>28000</v>
    <v>Nasdaq Stock Market</v>
    <v>XNAS</v>
    <v>XNAS</v>
    <v>2485 Augustine Drive, SANTA CLARA, CA, 95054 US</v>
    <v>100.65</v>
    <v>Semiconductors &amp; Semiconductor Equipment</v>
    <v>Stock</v>
    <v>45724.0416471875</v>
    <v>163</v>
    <v>96.39</v>
    <v>162550100000</v>
    <v>ADVANCED MICRO DEVICES, INC.</v>
    <v>ADVANCED MICRO DEVICES, INC.</v>
    <v>98.88</v>
    <v>99.99</v>
    <v>98.85</v>
    <v>100.31</v>
    <v>100.11</v>
    <v>1620478000</v>
    <v>AMD</v>
    <v>ADVANCED MICRO DEVICES, INC. (XNAS:AMD)</v>
    <v>33254367</v>
    <v>40760835</v>
    <v>1969</v>
  </rv>
  <rv s="2">
    <v>164</v>
  </rv>
  <rv s="0">
    <v>https://www.bing.com/financeapi/forcetrigger?t=a1nhlh&amp;q=XNAS%3aAMZN&amp;form=skydnc</v>
    <v>Learn more on Bing</v>
  </rv>
  <rv s="4">
    <v>en-US</v>
    <v>a1nhlh</v>
    <v>268435456</v>
    <v>1</v>
    <v>Powered by Refinitiv</v>
    <v>5</v>
    <v>AMAZON.COM, INC. (XNAS:AMZN)</v>
    <v>2</v>
    <v>6</v>
    <v>Finance</v>
    <v>27</v>
    <v>242.52</v>
    <v>151.61000000000001</v>
    <v>1.3872</v>
    <v>-1.45</v>
    <v>-1.0040000000000001E-3</v>
    <v>-7.2250000000000005E-3</v>
    <v>-0.2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1556000</v>
    <v>Nasdaq Stock Market</v>
    <v>XNAS</v>
    <v>XNAS</v>
    <v>410 Terry Avenue North, SEATTLE, WA, 98109 US</v>
    <v>202.2653</v>
    <v>Diversified Retail</v>
    <v>Stock</v>
    <v>45723.910061365626</v>
    <v>166</v>
    <v>192.53</v>
    <v>2111598000000</v>
    <v>AMAZON.COM, INC.</v>
    <v>AMAZON.COM, INC.</v>
    <v>199.49</v>
    <v>36.081000000000003</v>
    <v>200.7</v>
    <v>199.25</v>
    <v>199.05</v>
    <v>10597730000</v>
    <v>AMZN</v>
    <v>AMAZON.COM, INC. (XNAS:AMZN)</v>
    <v>59802821</v>
    <v>41767076</v>
    <v>1996</v>
  </rv>
  <rv s="2">
    <v>167</v>
  </rv>
  <rv s="0">
    <v>https://www.bing.com/financeapi/forcetrigger?t=a1yv52&amp;q=XNAS%3aNVDA&amp;form=skydnc</v>
    <v>Learn more on Bing</v>
  </rv>
  <rv s="4">
    <v>en-US</v>
    <v>a1yv52</v>
    <v>268435456</v>
    <v>1</v>
    <v>Powered by Refinitiv</v>
    <v>5</v>
    <v>NVIDIA CORPORATION (XNAS:NVDA)</v>
    <v>2</v>
    <v>6</v>
    <v>Finance</v>
    <v>16</v>
    <v>153.13</v>
    <v>75.605999999999995</v>
    <v>1.9541999999999999</v>
    <v>2.12</v>
    <v>-4.7920000000000003E-3</v>
    <v>1.9172999999999999E-2</v>
    <v>-0.54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three-dimensional Internet applications.</v>
    <v>36000</v>
    <v>Nasdaq Stock Market</v>
    <v>XNAS</v>
    <v>XNAS</v>
    <v>2788 San Tomas Expressway, SANTA CLARA, CA, 95051 US</v>
    <v>113.48</v>
    <v>Semiconductors &amp; Semiconductor Equipment</v>
    <v>Stock</v>
    <v>45723.875006503906</v>
    <v>169</v>
    <v>107.56</v>
    <v>2749636000000</v>
    <v>NVIDIA CORPORATION</v>
    <v>NVIDIA CORPORATION</v>
    <v>111.25</v>
    <v>38.336500000000001</v>
    <v>110.57</v>
    <v>112.69</v>
    <v>112.15</v>
    <v>24400000000</v>
    <v>NVDA</v>
    <v>NVIDIA CORPORATION (XNAS:NVDA)</v>
    <v>341755468</v>
    <v>278178921</v>
    <v>1998</v>
  </rv>
  <rv s="2">
    <v>170</v>
  </rv>
  <rv s="0">
    <v>https://www.bing.com/financeapi/forcetrigger?t=bx1rdm&amp;q=XNYS%3aSMR&amp;form=skydnc</v>
    <v>Learn more on Bing</v>
  </rv>
  <rv s="9">
    <v>en-US</v>
    <v>bx1rdm</v>
    <v>268435456</v>
    <v>1</v>
    <v>Powered by Refinitiv</v>
    <v>28</v>
    <v>NUSCALE POWER CORPORATION (XNYS:SMR)</v>
    <v>2</v>
    <v>29</v>
    <v>Finance</v>
    <v>27</v>
    <v>32.299999999999997</v>
    <v>3.79</v>
    <v>1.6133999999999999</v>
    <v>-0.32</v>
    <v>-2.5590000000000001E-3</v>
    <v>-2.0063000000000001E-2</v>
    <v>-0.04</v>
    <v>USD</v>
    <v>NuScale Power Corporation is a provider of proprietary advanced small modular reactor nuclear technology. The Company’s groundbreaking SMR technology is powered by the NuScale Power Module, a small, safe, pressurized water reactor that can each generate 77 megawatts of electricity (MWe) or 250 megawatts thermal (gross) and can be scaled to meet customer needs through an array of flexible configurations up to 924 MWe (12 modules) of output. It serves diverse customers across the world by supplying nuclear energy for electrical generation, district heating, desalination, commercial-scale hydrogen production, and other process heat applications. In addition to its flagship 12-module (924 MWe) VOYGR-12TM power plant, it offers smaller power plant solutions, including the six-module (462 MWe) VOYGR-6TM and the four-module (308 MWe) VOYGR-4TM. It offers VOYGR power plant designs for three facility sizes that are scalable in that they are capable of housing from one to four, six or 12 NPMs.</v>
    <v>330</v>
    <v>New York Stock Exchange</v>
    <v>XNYS</v>
    <v>XNYS</v>
    <v>1100 Ne Circle Blvd., Suite 200, CORVALLIS, OR, 97330 US</v>
    <v>16.12</v>
    <v>Electrical Utilities &amp; IPPs</v>
    <v>Stock</v>
    <v>45723.881944444445</v>
    <v>172</v>
    <v>14.4</v>
    <v>4414386000</v>
    <v>NUSCALE POWER CORPORATION</v>
    <v>NUSCALE POWER CORPORATION</v>
    <v>15.71</v>
    <v>15.95</v>
    <v>15.63</v>
    <v>15.59</v>
    <v>282430300</v>
    <v>SMR</v>
    <v>NUSCALE POWER CORPORATION (XNYS:SMR)</v>
    <v>11056370</v>
    <v>11912500</v>
    <v>2022</v>
  </rv>
  <rv s="2">
    <v>173</v>
  </rv>
  <rv s="0">
    <v>https://www.bing.com/financeapi/forcetrigger?t=bx5dc7&amp;q=XNYS%3aACHR&amp;form=skydnc</v>
    <v>Learn more on Bing</v>
  </rv>
  <rv s="9">
    <v>en-US</v>
    <v>bx5dc7</v>
    <v>268435456</v>
    <v>1</v>
    <v>Powered by Refinitiv</v>
    <v>28</v>
    <v>ARCHER AVIATION INC. (XNYS:ACHR)</v>
    <v>2</v>
    <v>29</v>
    <v>Finance</v>
    <v>16</v>
    <v>12.475</v>
    <v>2.8206000000000002</v>
    <v>3.1669</v>
    <v>-0.04</v>
    <v>-2.673E-3</v>
    <v>-5.2910000000000006E-3</v>
    <v>-2.01E-2</v>
    <v>USD</v>
    <v>Archer Aviation Inc. is an aerospace company. The Company is engaged in designing and developing electric vertical takeoff and landing (eVTOL) aircraft for use in urban air mobility (UAM) networks. The Company’s eVTOL aircraft are designed to be safe, sustainable, and quiet. Its production aircraft, Midnight, is designed around its proprietary 12-tilt-6 aircraft configuration. Midnight is designed to carry four passengers plus a pilot optimized for back-to-back short distance trips of around 20-miles, with minimal charging time between trips. It intends to operate two complementary lines of business: a direct-to-consumer aerial ride share service (Archer UAM) and the sale of its aircraft to other operators (Archer Direct). Midnight is the evolution of its demonstrator eVTOL aircraft, Maker, which through its flight test program has helped validate its proprietary 12-tilt-6 aircraft configuration and certain key enabling technologies.</v>
    <v>774</v>
    <v>New York Stock Exchange</v>
    <v>XNYS</v>
    <v>XNYS</v>
    <v>190 West Tasman Drive, SAN JOSE, CA, 95134 US</v>
    <v>7.66</v>
    <v>Aerospace &amp; Defense</v>
    <v>Stock</v>
    <v>45724.041518680468</v>
    <v>175</v>
    <v>7.02</v>
    <v>4079376000</v>
    <v>ARCHER AVIATION INC.</v>
    <v>ARCHER AVIATION INC.</v>
    <v>7.5</v>
    <v>7.56</v>
    <v>7.52</v>
    <v>7.4999000000000002</v>
    <v>542470300</v>
    <v>ACHR</v>
    <v>ARCHER AVIATION INC. (XNYS:ACHR)</v>
    <v>24737318</v>
    <v>34613305</v>
    <v>2020</v>
  </rv>
  <rv s="2">
    <v>176</v>
  </rv>
  <rv s="0">
    <v>https://www.bing.com/financeapi/forcetrigger?t=a23cim&amp;q=XNAS%3aSPCB&amp;form=skydnc</v>
    <v>Learn more on Bing</v>
  </rv>
  <rv s="4">
    <v>en-US</v>
    <v>a23cim</v>
    <v>268435456</v>
    <v>1</v>
    <v>Powered by Refinitiv</v>
    <v>5</v>
    <v>SUPERCOM LTD (XNAS:SPCB)</v>
    <v>2</v>
    <v>6</v>
    <v>Finance</v>
    <v>16</v>
    <v>18.95</v>
    <v>2.5499999999999998</v>
    <v>0.97889999999999999</v>
    <v>-0.47</v>
    <v>5.7992000000000002E-2</v>
    <v>-6.2333999999999994E-2</v>
    <v>0.41</v>
    <v>USD</v>
    <v>Supercom Ltd is an Israel-based global provider of traditional and digital identity solutions, advanced Internet of Things (IoT) and connectivity solutions, and cyber security products and solutions, to governments and private and public organizations throughout the world. The Company is comprised of three main Strategic Business Units (SBU): e-Gov, IoT and Connectivity (IoT), and Cyber Security: e-Gov, e-Government platforms and innovative solutions for traditional and biometrics enrollment, personalization, issuance and border control services; IoT and Connectivity - products and solutions that identify, track and monitor people or objects in real time, enabling its customers to detect unauthorized movement of people, vehicles and other monitored objects and Cyber Security delivered through subsidiaries such as, Safend Ltd and Prevision Ltd.</v>
    <v>121</v>
    <v>Nasdaq Stock Market</v>
    <v>XNAS</v>
    <v>XNAS</v>
    <v>3, Rothschild Blvd., TEL AVIV-YAFO, 6688106 IL</v>
    <v>7.9653</v>
    <v>Software &amp; IT Services</v>
    <v>Stock</v>
    <v>45724.020344930468</v>
    <v>178</v>
    <v>6.6</v>
    <v>12149580</v>
    <v>SUPERCOM LTD</v>
    <v>SUPERCOM LTD</v>
    <v>7.53</v>
    <v>0</v>
    <v>7.54</v>
    <v>7.07</v>
    <v>7.48</v>
    <v>1718470</v>
    <v>SPCB</v>
    <v>SUPERCOM LTD (XNAS:SPCB)</v>
    <v>245296</v>
    <v>314559</v>
    <v>1988</v>
  </rv>
  <rv s="2">
    <v>179</v>
  </rv>
  <rv s="0">
    <v>https://www.bing.com/financeapi/forcetrigger?t=a1ql9c&amp;q=XNYS%3aCVNA&amp;form=skydnc</v>
    <v>Learn more on Bing</v>
  </rv>
  <rv s="4">
    <v>en-US</v>
    <v>a1ql9c</v>
    <v>268435456</v>
    <v>1</v>
    <v>Powered by Refinitiv</v>
    <v>5</v>
    <v>CARVANA CO. (XNYS:CVNA)</v>
    <v>2</v>
    <v>6</v>
    <v>Finance</v>
    <v>16</v>
    <v>292.83999999999997</v>
    <v>67.61</v>
    <v>3.6934999999999998</v>
    <v>1.72</v>
    <v>-7.8000000000000005E-3</v>
    <v>9.2049999999999996E-3</v>
    <v>-1.47</v>
    <v>USD</v>
    <v>Carvana Co. is a holding company. The Company operates an e-commerce platform for buying and selling used cars. On the Company's platform, consumers can research and identify a vehicle, inspect it using its 360-degree vehicle imaging technology, obtain financing and warranty coverage, purchase the vehicle, and schedule delivery or pick-up, all from their desktop or mobile devices. It also provides automated vehicle valuations for buying vehicles from customers with or without a retail purchase, automated financing, vehicle service contracts (VSC), auto insurance, GAP waiver coverage, limited warranty, and other ancillary products. It offers pick-up and delivery options, including pick-up at its vending machines or hubs, and as soon as same day deliveries, depending on the market. The Company's in-house customer advocates are available to answer customer questions that arise throughout the process.</v>
    <v>17400</v>
    <v>New York Stock Exchange</v>
    <v>XNYS</v>
    <v>XNYS</v>
    <v>300 E. Rio Salado Parkway, TEMPE, AZ, 85281 US</v>
    <v>192</v>
    <v>Specialty Retailers</v>
    <v>Stock</v>
    <v>45723.918577777345</v>
    <v>181</v>
    <v>171.05</v>
    <v>40179420000</v>
    <v>CARVANA CO.</v>
    <v>CARVANA CO.</v>
    <v>186.21</v>
    <v>120.369</v>
    <v>186.85</v>
    <v>188.57</v>
    <v>187</v>
    <v>213187300</v>
    <v>CVNA</v>
    <v>CARVANA CO. (XNYS:CVNA)</v>
    <v>8350540</v>
    <v>3998856</v>
    <v>2016</v>
  </rv>
  <rv s="2">
    <v>182</v>
  </rv>
  <rv s="0">
    <v>https://www.bing.com/financeapi/forcetrigger?t=bvsk7w&amp;q=XNYS%3aPLTR&amp;form=skydnc</v>
    <v>Learn more on Bing</v>
  </rv>
  <rv s="4">
    <v>en-US</v>
    <v>bvsk7w</v>
    <v>268435456</v>
    <v>1</v>
    <v>Powered by Refinitiv</v>
    <v>5</v>
    <v>PALANTIR TECHNOLOGIES INC. (XNAS:PLTR)</v>
    <v>2</v>
    <v>6</v>
    <v>Finance</v>
    <v>16</v>
    <v>125.41</v>
    <v>20.329999999999998</v>
    <v>2.7890000000000001</v>
    <v>4.4431000000000003</v>
    <v>-1.284E-4</v>
    <v>5.5220999999999999E-2</v>
    <v>-1.09E-2</v>
    <v>USD</v>
    <v>Palantir Technologies Inc. is engaged in building software to assist in counterterrorism investigations and operations. It has built four principal software platforms, including Palantir Gotham (Gotham), Palantir Foundry (Foundry), Palantir Apollo (Apollo), and Palantir Artificial Intelligence Platform (AIP). Apollo is a cloud-agnostic, single control layer that coordinates ongoing delivery of new features, security updates, and platform configurations, helping to ensure the continuous operation of critical systems. Gotham enables users to identify patterns hidden deep within datasets, ranging from signals intelligence sources to reports from confidential informants. Foundry transforms the ways organizations operate by creating a central operating system for their data. AIP enables responsible artificial intelligence (AI)-advantage across the enterprise by using primary, core components built to effectively activate large language models (LLMs) and other AI within any organization.</v>
    <v>3936</v>
    <v>Nasdaq Stock Market</v>
    <v>XNAS</v>
    <v>XNAS</v>
    <v>1200 17Th Street, Floor 15, DENVER, CO, 80202 US</v>
    <v>85.16</v>
    <v>Software &amp; IT Services</v>
    <v>Stock</v>
    <v>45724.04166313594</v>
    <v>184</v>
    <v>79.150000000000006</v>
    <v>199058900000</v>
    <v>PALANTIR TECHNOLOGIES INC.</v>
    <v>PALANTIR TECHNOLOGIES INC.</v>
    <v>80.025000000000006</v>
    <v>434.32049999999998</v>
    <v>80.459999999999994</v>
    <v>84.903099999999995</v>
    <v>84.899100000000004</v>
    <v>2344352000</v>
    <v>PLTR</v>
    <v>PALANTIR TECHNOLOGIES INC. (XNAS:PLTR)</v>
    <v>105377101</v>
    <v>117865988</v>
    <v>2003</v>
  </rv>
  <rv s="2">
    <v>185</v>
  </rv>
  <rv s="0">
    <v>https://www.bing.com/financeapi/forcetrigger?t=a2692w&amp;q=XNAS%3aXNET&amp;form=skydnc</v>
    <v>Learn more on Bing</v>
  </rv>
  <rv s="4">
    <v>en-US</v>
    <v>a2692w</v>
    <v>268435456</v>
    <v>1</v>
    <v>Powered by Refinitiv</v>
    <v>5</v>
    <v>Xunlei Limited (XNAS:XNET)</v>
    <v>2</v>
    <v>6</v>
    <v>Finance</v>
    <v>27</v>
    <v>4.8049999999999997</v>
    <v>1.45</v>
    <v>0.85540000000000005</v>
    <v>0.5</v>
    <v>4.444E-3</v>
    <v>0.125</v>
    <v>0.02</v>
    <v>USD</v>
    <v>Xunlei Ltd is a company principally engaged in the provision of distributed cloud services. The Company engages in the operation of Internet platform based on cloud technology to enable users to access, store, manage and consume digital media content on the Internet. The Company also provides a wide range of products and services across cloud acceleration, shared cloud computing and digital entertainment to deliver a smart and safe Internet environment to users. The Company delivers products such as Xunlei Accelerator and subscription services. The Company also provides cloud computing services and products, live streaming and other value-added services. The Company mainly conducts its businesses in the domestic market.</v>
    <v>1215</v>
    <v>Nasdaq Stock Market</v>
    <v>XNAS</v>
    <v>XNAS</v>
    <v>3709 Baishi Road, Nanshan District, SHENZHEN, GUANGDONG, 518000 CN</v>
    <v>4.62</v>
    <v>Software &amp; IT Services</v>
    <v>Stock</v>
    <v>45724.03645135391</v>
    <v>187</v>
    <v>3.9</v>
    <v>285264135</v>
    <v>Xunlei Limited</v>
    <v>Xunlei Limited</v>
    <v>4.05</v>
    <v>17.5093</v>
    <v>4</v>
    <v>4.5</v>
    <v>4.5199999999999996</v>
    <v>63392030</v>
    <v>XNET</v>
    <v>Xunlei Limited (XNAS:XNET)</v>
    <v>989810</v>
    <v>2514288</v>
    <v>2005</v>
  </rv>
  <rv s="2">
    <v>188</v>
  </rv>
  <rv s="0">
    <v>https://www.bing.com/financeapi/forcetrigger?t=aw3oh7&amp;q=XNYS%3aFUBO&amp;form=skydnc</v>
    <v>Learn more on Bing</v>
  </rv>
  <rv s="9">
    <v>en-US</v>
    <v>aw3oh7</v>
    <v>268435456</v>
    <v>1</v>
    <v>Powered by Refinitiv</v>
    <v>28</v>
    <v>FUBOTV INC. (XNYS:FUBO)</v>
    <v>2</v>
    <v>29</v>
    <v>Finance</v>
    <v>16</v>
    <v>6.45</v>
    <v>1.1000000000000001</v>
    <v>2.2464</v>
    <v>0.19500000000000001</v>
    <v>-6.2890000000000003E-3</v>
    <v>6.5216999999999997E-2</v>
    <v>-0.02</v>
    <v>USD</v>
    <v>fuboTV Inc. is a sports-first, live television (TV) streaming company. The Company is engaged in offering access to tens of thousands of live sporting events annually, as well as news and entertainment content. Its platform is designed to allow customers to seamlessly access content through streaming devices and on Smart TVs, mobile phones, tablets, and computers. The Company operates through its streaming segment. Its base plan, Fubo Pro, includes over 100+ channels, including Nielsen-rated networks, and dozens of sports, news, and entertainment options. Its subscribers have the option to add premium channels and channel packages, as well as upgrade attachments such as Cloud DVR Plus for more storage and Family Share for additional simultaneous streams. The Company also offers multi-view on Apple TV, which enables subscribers to watch up to four live streams simultaneously. Its platform allows content providers to monetize and distribute their content to its highly engaged audience.</v>
    <v>590</v>
    <v>New York Stock Exchange</v>
    <v>XNYS</v>
    <v>XNYS</v>
    <v>1290 AVENUE OF THE AMERICAS, NEW YORK, NEW YORK, NY, 10104 US</v>
    <v>3.23</v>
    <v>Software &amp; IT Services</v>
    <v>Stock</v>
    <v>45724.040534154687</v>
    <v>190</v>
    <v>2.92</v>
    <v>1085896000</v>
    <v>FUBOTV INC.</v>
    <v>FUBOTV INC.</v>
    <v>2.94</v>
    <v>2.99</v>
    <v>3.1850000000000001</v>
    <v>3.16</v>
    <v>341476600</v>
    <v>FUBO</v>
    <v>FUBOTV INC. (XNYS:FUBO)</v>
    <v>20577253</v>
    <v>24934310</v>
    <v>2009</v>
  </rv>
  <rv s="2">
    <v>191</v>
  </rv>
  <rv s="0">
    <v>https://www.bing.com/financeapi/forcetrigger?t=a1qltc&amp;q=OTCM%3aCVUA&amp;form=skydnc</v>
    <v>Learn more on Bing</v>
  </rv>
  <rv s="4">
    <v>en-US</v>
    <v>a1qltc</v>
    <v>268435456</v>
    <v>1</v>
    <v>Powered by Refinitiv</v>
    <v>5</v>
    <v>CPI AEROSTRUCTURES, INC. (XNYS:CVU)</v>
    <v>2</v>
    <v>6</v>
    <v>Finance</v>
    <v>27</v>
    <v>5.85</v>
    <v>2.16</v>
    <v>1.4370000000000001</v>
    <v>0.06</v>
    <v>2.7397000000000001E-2</v>
    <v>1.6712999999999999E-2</v>
    <v>0.1</v>
    <v>USD</v>
    <v>CPI Aerostructures, Inc. (CPI Aero) is a manufacturer of structural assemblies, integrated systems, and kitted components for the domestic and international aerospace and defense (A&amp;D) markets. CPI Aero is a supplier of aircraft parts for fixed wing aircraft and helicopters in both the commercial and defense markets in United States. CPI Aero provides manufacturing engineering, program management, supply chain management, kitting and maintenance repair and overhaul (MRO) services. The Company supplies its products to original equipment manufacturers (OEMs) as well as, the Company is a prime contractor to the United States Department of Defense (DOD), primarily for United States Air Force (USAF). The Company’s products are used by customers in the production of fixed wing aircraft, helicopters, electronic warfare (EW) systems, intelligence, surveillance, and reconnaissance (ISR) systems, missiles, and other sophisticated A&amp;D products.</v>
    <v>203</v>
    <v>New York Stock Exchange</v>
    <v>XNYS</v>
    <v>XNYS</v>
    <v>200A Executive Dr, EDGEWOOD, NY, 11717 US</v>
    <v>3.7252000000000001</v>
    <v>Aerospace &amp; Defense</v>
    <v>Stock</v>
    <v>45723.932146747655</v>
    <v>193</v>
    <v>3.55</v>
    <v>47452450</v>
    <v>CPI AEROSTRUCTURES, INC.</v>
    <v>CPI AEROSTRUCTURES, INC.</v>
    <v>3.55</v>
    <v>2.569</v>
    <v>3.59</v>
    <v>3.65</v>
    <v>3.75</v>
    <v>13000670</v>
    <v>CVU</v>
    <v>CPI AEROSTRUCTURES, INC. (XNYS:CVU)</v>
    <v>52447</v>
    <v>69934</v>
    <v>1980</v>
  </rv>
  <rv s="2">
    <v>194</v>
  </rv>
  <rv s="0">
    <v>https://www.bing.com/financeapi/forcetrigger?t=a2et5r&amp;q=XNAS%3aDTSS&amp;form=skydnc</v>
    <v>Learn more on Bing</v>
  </rv>
  <rv s="4">
    <v>en-US</v>
    <v>a2et5r</v>
    <v>268435456</v>
    <v>1</v>
    <v>Powered by Refinitiv</v>
    <v>5</v>
    <v>DATASEA INC. (XNAS:DTSS)</v>
    <v>2</v>
    <v>6</v>
    <v>Finance</v>
    <v>27</v>
    <v>9.7998999999999992</v>
    <v>1.65</v>
    <v>0.38719999999999999</v>
    <v>7.0000000000000007E-2</v>
    <v>0</v>
    <v>3.3333000000000002E-2</v>
    <v>0</v>
    <v>USD</v>
    <v>Datasea Inc is a China-based company principally engaged in the development of digital intelligence technology. The Company's main business is the provision of comprehensive software and hardware solutions for customers in the fields of fifth generation (5G) communication, acoustic intelligence, and smart city management. The Company's main products include 5G technology message marketing cloud platform (5G MMCP), 5G technology comprehensive message marketing cloud platform (5G IMMCP), Smart Push and other information services. The Company also produces ultrasonic sound sterilization and antivirus equipment and smart city systems. The Company mainly conducts its business in the domestic market.</v>
    <v>36</v>
    <v>Nasdaq Stock Market</v>
    <v>XNAS</v>
    <v>XNAS</v>
    <v>1 Xinghuo Rd, Changning Bldg, Ste.11D2e, Fengtai District, BEIJING, BEIJING, 100070 CN</v>
    <v>2.17</v>
    <v>Software &amp; IT Services</v>
    <v>Stock</v>
    <v>45723.879967013279</v>
    <v>196</v>
    <v>2.0499999999999998</v>
    <v>16252000</v>
    <v>DATASEA INC.</v>
    <v>DATASEA INC.</v>
    <v>2.13</v>
    <v>0</v>
    <v>2.1</v>
    <v>2.17</v>
    <v>2.17</v>
    <v>7489400</v>
    <v>DTSS</v>
    <v>DATASEA INC. (XNAS:DTSS)</v>
    <v>24365</v>
    <v>100715</v>
    <v>2014</v>
  </rv>
  <rv s="2">
    <v>197</v>
  </rv>
  <rv s="0">
    <v>https://www.bing.com/financeapi/forcetrigger?t=b13zhw&amp;q=XNYS%3aKULR&amp;form=skydnc</v>
    <v>Learn more on Bing</v>
  </rv>
  <rv s="9">
    <v>en-US</v>
    <v>b13zhw</v>
    <v>268435456</v>
    <v>1</v>
    <v>Powered by Refinitiv</v>
    <v>28</v>
    <v>KULR TECHNOLOGY GROUP, INC. (XNYS:KULR)</v>
    <v>2</v>
    <v>29</v>
    <v>Finance</v>
    <v>16</v>
    <v>5.49</v>
    <v>0.13370000000000001</v>
    <v>1.3552999999999999</v>
    <v>6.5000000000000002E-2</v>
    <v>0</v>
    <v>5.5556000000000001E-2</v>
    <v>0</v>
    <v>USD</v>
    <v>KULR Technology Group, Inc. is an energy management platform company. The Company is engaged in developing, manufacturing, and licensing carbon fiber thermal management technologies for batteries and electronic systems. For aerospace and Department of Defense (DOD) applications, its solutions target high-performance applications in direct energy, hypersonic vehicles, and satellite communications. For commercial applications, its focus is a total solution to battery safety and sustainability. This total battery safety solution can be used for electric vehicles, energy storage, battery recycling transportation, cloud computing and fifth generation (5G) communication devices. Its product and service offerings include KULR ONE, KULR VIBE, Lithium-Ion Battery Thermal Runaway Shield, KULR Automated Battery Cell Screening and Test System, CellCheck, KULR SafeCase, Fiber Thermal Interface Material, Phase Change Material (PCM) Heat Sink, Internal Short Circuit (ISC) Device, and CRUX Cathode.</v>
    <v>57</v>
    <v>New York Stock Exchange</v>
    <v>XNYS</v>
    <v>XNYS</v>
    <v>4863 SHAWLINE STREET, SAN DIEGO, CA, 92111 US</v>
    <v>1.24</v>
    <v>Machinery, Equipment &amp; Components</v>
    <v>Stock</v>
    <v>45724.041423969531</v>
    <v>199</v>
    <v>1.155</v>
    <v>294312600</v>
    <v>KULR TECHNOLOGY GROUP, INC.</v>
    <v>KULR TECHNOLOGY GROUP, INC.</v>
    <v>1.17</v>
    <v>1.17</v>
    <v>1.2350000000000001</v>
    <v>1.23</v>
    <v>239278500</v>
    <v>KULR</v>
    <v>KULR TECHNOLOGY GROUP, INC. (XNYS:KULR)</v>
    <v>6651627</v>
    <v>13984326</v>
    <v>2015</v>
  </rv>
  <rv s="2">
    <v>200</v>
  </rv>
  <rv s="0">
    <v>https://www.bing.com/financeapi/forcetrigger?t=c23wk2&amp;q=XNAS%3aGRRR&amp;form=skydnc</v>
    <v>Learn more on Bing</v>
  </rv>
  <rv s="16">
    <v>en-US</v>
    <v>c23wk2</v>
    <v>268435456</v>
    <v>1</v>
    <v>Powered by Refinitiv</v>
    <v>40</v>
    <v>Gorilla Technology Group Inc. (XNAS:GRRR)</v>
    <v>2</v>
    <v>41</v>
    <v>Finance</v>
    <v>27</v>
    <v>44.15</v>
    <v>2.09</v>
    <v>-0.32469999999999999</v>
    <v>-5.5</v>
    <v>-2.1471000000000001E-2</v>
    <v>-0.162194</v>
    <v>-0.61</v>
    <v>USD</v>
    <v>Gorilla Technology Group Inc. (Gorilla) is a global solution provider in security intelligence, network intelligence, business intelligence and internet of things (IoT) technology. The Company offers products and services, such as AI Models, AI Appliances and AI SaaS Platforms. Gorilla’s AI Models include video analytics, IT-OT Security Convergence, network anomaly detection, endpoint malware and suspicious behavior detection. Gorilla's AI Appliances include Intelligent Video Analytics (IVA) Appliances, Intelligent Video Analytics Recorder (IVAR) Appliance, Smart Attendance, Event &amp; Video Management System Appliances, and Operation Technology (OT) Security Appliance. Gorilla’s AI SaaS Platforms include Smart Retail, Smart City and Transportation and Endpoint Security. Its machine learning and deep learning algorithms enable its customers to move, store and analyze data for actionable use in biometric authentication and device management.</v>
    <v>142</v>
    <v>Nasdaq Stock Market</v>
    <v>XNAS</v>
    <v>XNAS</v>
    <v>Meridien House, 42 Upper Berkeley Street, Marble Arch, LONDON, W1H 5QJ GB</v>
    <v>35.369900000000001</v>
    <v>Software &amp; IT Services</v>
    <v>Stock</v>
    <v>45724.041601585159</v>
    <v>202</v>
    <v>25.629200000000001</v>
    <v>524580706</v>
    <v>Gorilla Technology Group Inc.</v>
    <v>Gorilla Technology Group Inc.</v>
    <v>31.87</v>
    <v>16.034700000000001</v>
    <v>33.909999999999997</v>
    <v>28.41</v>
    <v>27.8</v>
    <v>18464650</v>
    <v>GRRR</v>
    <v>Gorilla Technology Group Inc. (XNAS:GRRR)</v>
    <v>7492345</v>
    <v>4473442</v>
  </rv>
  <rv s="2">
    <v>203</v>
  </rv>
  <rv s="0">
    <v>https://www.bing.com/financeapi/forcetrigger?t=a1qgzr&amp;q=XNYS%3aLUMN&amp;form=skydnc</v>
    <v>Learn more on Bing</v>
  </rv>
  <rv s="9">
    <v>en-US</v>
    <v>a1qgzr</v>
    <v>268435456</v>
    <v>1</v>
    <v>Powered by Refinitiv</v>
    <v>28</v>
    <v>LUMEN TECHNOLOGIES, INC. (XNYS:LUMN)</v>
    <v>2</v>
    <v>29</v>
    <v>Finance</v>
    <v>27</v>
    <v>10.33</v>
    <v>0.97019999999999995</v>
    <v>1.1633</v>
    <v>0.27</v>
    <v>1.887E-3</v>
    <v>5.3677999999999997E-2</v>
    <v>0.01</v>
    <v>USD</v>
    <v>Lumen Technologies, Inc. is a facilities-based technology and communications company. The Company provides a range of integrated products and services to its domestic and global business customers and its domestic mass markets customers. It operates through two segments: Business segment and Mass Markets segment. Its Business segment provides its products and services under four sales channels to meet the needs of its enterprise and commercial customers. Its products and services in this segment include Dark Fiber, Edge Cloud Services, Internet Protocol (IP), Managed Security Services, Software-Defined Wide Area Networks (SD WAN), Secure Access Service Edge (SASE), Optical Services, Ethernet, VPN Data Networks, Voice Services, IT Solutions and Other Legacy Services. Its Mass Markets segment provides products and services to residential and small business customers. Its products and services in this segment include Fiber Broadband, Other Broadband and Voice and Other.</v>
    <v>25000</v>
    <v>New York Stock Exchange</v>
    <v>XNYS</v>
    <v>XNYS</v>
    <v>P O BOX 4065, 100 CENTURYLINK DR, MONROE, LA, 71203 US</v>
    <v>5.4649999999999999</v>
    <v>Telecommunications Services</v>
    <v>Stock</v>
    <v>45723.881944444445</v>
    <v>205</v>
    <v>4.93</v>
    <v>5373137000</v>
    <v>LUMEN TECHNOLOGIES, INC.</v>
    <v>LUMEN TECHNOLOGIES, INC.</v>
    <v>5.05</v>
    <v>5.03</v>
    <v>5.3</v>
    <v>5.31</v>
    <v>1013799000</v>
    <v>LUMN</v>
    <v>LUMEN TECHNOLOGIES, INC. (XNYS:LUMN)</v>
    <v>13930373</v>
    <v>13513802</v>
    <v>1968</v>
  </rv>
  <rv s="2">
    <v>206</v>
  </rv>
  <rv s="0">
    <v>https://www.bing.com/financeapi/forcetrigger?t=btgtec&amp;q=XNAS%3aPRCH&amp;form=skydnc</v>
    <v>Learn more on Bing</v>
  </rv>
  <rv s="4">
    <v>en-US</v>
    <v>btgtec</v>
    <v>268435456</v>
    <v>1</v>
    <v>Powered by Refinitiv</v>
    <v>5</v>
    <v>Porch Group, Inc. (XNAS:PRCH)</v>
    <v>2</v>
    <v>6</v>
    <v>Finance</v>
    <v>27</v>
    <v>7.2949999999999999</v>
    <v>1.05</v>
    <v>2.2273999999999998</v>
    <v>0.14499999999999999</v>
    <v>-1.2888999999999999E-2</v>
    <v>2.2481000000000001E-2</v>
    <v>-8.5000000000000006E-2</v>
    <v>USD</v>
    <v>Porch Group, Inc. is a homeowners insurance company. The Company’s strategy is to engage homeowners’ insurance to deploy vertical software solutions in select home-related industries, provide services for homebuyers including important moving services, leveraging data for advantaged underwriting, and provide protection for policyholders. It operates through two segments: Vertical Software and Insurance. The Vertical Software segment provides software and services to inspection, mortgage, and title companies on a subscription and transactional basis, while also providing move and post-move services. The segment operates in several key businesses, including inspection software and services, title insurance software, mortgage software, mover and homeowner marketing, and measurement software for roofers. The Insurance segment provides consumers with insurance and warranty products to protect their homes, earning revenue through premiums collected on policies, policy fees and commissions.</v>
    <v>729</v>
    <v>Nasdaq Stock Market</v>
    <v>XNAS</v>
    <v>XNAS</v>
    <v>411 1ST AVENUE S., SUITE 501, SEATTLE, WA, 98104 US</v>
    <v>6.7119999999999997</v>
    <v>Software &amp; IT Services</v>
    <v>Stock</v>
    <v>45724.015814385937</v>
    <v>208</v>
    <v>6.05</v>
    <v>791822080</v>
    <v>Porch Group, Inc.</v>
    <v>Porch Group, Inc.</v>
    <v>6.41</v>
    <v>0</v>
    <v>6.45</v>
    <v>6.5949999999999998</v>
    <v>6.51</v>
    <v>120064000</v>
    <v>PRCH</v>
    <v>Porch Group, Inc. (XNAS:PRCH)</v>
    <v>1519936</v>
    <v>2999944</v>
    <v>2019</v>
  </rv>
  <rv s="2">
    <v>209</v>
  </rv>
  <rv s="0">
    <v>https://www.bing.com/financeapi/forcetrigger?t=bwdiw7&amp;q=XNAS%3aOTMO&amp;form=skydnc</v>
    <v>Learn more on Bing</v>
  </rv>
  <rv s="4">
    <v>en-US</v>
    <v>bwdiw7</v>
    <v>268435456</v>
    <v>1</v>
    <v>Powered by Refinitiv</v>
    <v>5</v>
    <v>URGENT.LY INC. (XNAS:ULY)</v>
    <v>2</v>
    <v>6</v>
    <v>Finance</v>
    <v>27</v>
    <v>3.45</v>
    <v>0.41149999999999998</v>
    <v>1.5488999999999999</v>
    <v>8.0000000000000002E-3</v>
    <v>-3.4561000000000001E-2</v>
    <v>1.4234999999999999E-2</v>
    <v>-1.9699999999999999E-2</v>
    <v>USD</v>
    <v>Urgent.ly Inc. is a provider of digital roadside and mobility assistance technology and services. The Company provides connected mobility assistance software platform, matching vehicle owners and operators with service professionals who deliver traditional roadside assistance, proactive maintenance, and repair services. The Company’s digitally native software platform combines location-based services, real-time data, artificial intelligence (AI) and machine-to-machine communication to power roadside assistance solutions for brands across automotive, insurance, telematics, and other transportation-focused verticals. The Company operates through one segment: Mobility Assistance Services. The Mobility Assistance Services segment includes all products, services and software used to generate revenue under the Company’s commercial agreements. Its customer partners include original equipment manufacturers, automotive insurance companies, and ride-hailing services.</v>
    <v>349</v>
    <v>Nasdaq Stock Market</v>
    <v>XNAS</v>
    <v>XNAS</v>
    <v>8609 Westwood Center Drive, Suite 810, VIENNA, VA, 22182 US</v>
    <v>0.6</v>
    <v>Software &amp; IT Services</v>
    <v>Stock</v>
    <v>45724.033875022658</v>
    <v>211</v>
    <v>0.53</v>
    <v>8395610</v>
    <v>URGENT.LY INC.</v>
    <v>URGENT.LY INC.</v>
    <v>0.56079999999999997</v>
    <v>8.455E-2</v>
    <v>0.56200000000000006</v>
    <v>0.56999999999999995</v>
    <v>0.55030000000000001</v>
    <v>14938800</v>
    <v>ULY</v>
    <v>URGENT.LY INC. (XNAS:ULY)</v>
    <v>251510</v>
    <v>6769482</v>
    <v>2013</v>
  </rv>
  <rv s="2">
    <v>212</v>
  </rv>
  <rv s="17">
    <v>12</v>
    <v>1</v>
  </rv>
  <rv s="18">
    <v>0</v>
  </rv>
  <rv s="18">
    <v>1</v>
  </rv>
  <rv s="18">
    <v>2</v>
  </rv>
  <rv s="0">
    <v>https://www.bing.com/financeapi/forcetrigger?t=aw5goc&amp;q=XNAS%3aAUID&amp;form=skydnc</v>
    <v>Learn more on Bing</v>
  </rv>
  <rv s="4">
    <v>en-US</v>
    <v>aw5goc</v>
    <v>268435456</v>
    <v>1</v>
    <v>Powered by Refinitiv</v>
    <v>5</v>
    <v>AUTHID INC. (XNAS:AUID)</v>
    <v>2</v>
    <v>6</v>
    <v>Finance</v>
    <v>16</v>
    <v>12.309900000000001</v>
    <v>4.1501000000000001</v>
    <v>2.4131999999999998</v>
    <v>0.25</v>
    <v>0</v>
    <v>5.144E-2</v>
    <v>0</v>
    <v>USD</v>
    <v>authID Inc. is engaged in providing secure identity authentication solutions. The Company's enables cyber-savvy enterprises to Know Who’s Behind the Device for every customer or employee login and transaction. Through its patented, biometric identity platform Verified, the Company verifies a user’s identity, eliminating any assumption of who is behind a device and preventing cybercriminals from taking over accounts. authID combines digital onboarding, biometric passwordless authentication and account recovery, with a user-friendly experience delivering identity verification in 700ms. Its Verified is a cloud-based platform, which offers services, such as Biometric Identity Verification, Biometric Identity Authentication, Account / Access Recovery, and Fast Identity Online (FIDO) Passkey binding. Biometric identity verification establishes the trusted identity of users based on a variety of ground truth sources, including government-issued identity documents.</v>
    <v>22</v>
    <v>Nasdaq Stock Market</v>
    <v>XNAS</v>
    <v>XNAS</v>
    <v>1580 N. Logan St., Ste 660, Unit 51767, DENVER, CO, 80203 US</v>
    <v>5.25</v>
    <v>Software &amp; IT Services</v>
    <v>Stock</v>
    <v>45723.875009258591</v>
    <v>218</v>
    <v>4.7699999999999996</v>
    <v>55805850</v>
    <v>AUTHID INC.</v>
    <v>AUTHID INC.</v>
    <v>4.99</v>
    <v>0</v>
    <v>4.8600000000000003</v>
    <v>5.1100000000000003</v>
    <v>5.1100000000000003</v>
    <v>10920910</v>
    <v>AUID</v>
    <v>AUTHID INC. (XNAS:AUID)</v>
    <v>56117</v>
    <v>37332</v>
    <v>2011</v>
  </rv>
  <rv s="2">
    <v>219</v>
  </rv>
  <rv s="4">
    <v>en-US</v>
    <v>a24kar</v>
    <v>268435456</v>
    <v>1</v>
    <v>Powered by Refinitiv</v>
    <v>5</v>
    <v>TESLA, INC. (XNAS:TSLA)</v>
    <v>2</v>
    <v>6</v>
    <v>Finance</v>
    <v>27</v>
    <v>488.53989999999999</v>
    <v>138.80250000000001</v>
    <v>2.6015999999999999</v>
    <v>-0.78</v>
    <v>-8.7560000000000003E-4</v>
    <v>-2.9609999999999997E-3</v>
    <v>-0.23</v>
    <v>USD</v>
    <v>Tesla, Inc. designs, develops, manufactures, sells and leases high-performance fully electric vehicles and energy generation and storage systems, and offers services related to its products. The Company's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after-sales vehicle services, body shop and parts, paid supercharging, vehicle insurance and retail merchandise. Its consumer vehicles include the Model 3, Y, S, X and Cybertruck. The energy generation and storage segment includes the design, manufacture, installation, sales and leasing of solar energy generation and energy storage products and related services and sales of solar energy systems incentives. Its lithium-ion battery energy storage products include Powerwall and Megapack.</v>
    <v>125665</v>
    <v>Nasdaq Stock Market</v>
    <v>XNAS</v>
    <v>XNAS</v>
    <v>1 Tesla Road, AUSTIN, TX, 78725 US</v>
    <v>266.24990000000003</v>
    <v>Automobiles &amp; Auto Parts</v>
    <v>Stock</v>
    <v>45723.930052453128</v>
    <v>153</v>
    <v>250.73</v>
    <v>844882500000</v>
    <v>TESLA, INC.</v>
    <v>TESLA, INC.</v>
    <v>259.32</v>
    <v>129.34379999999999</v>
    <v>263.45</v>
    <v>262.67</v>
    <v>262.44</v>
    <v>3216517000</v>
    <v>TSLA</v>
    <v>TESLA, INC. (XNAS:TSLA)</v>
    <v>102369640</v>
    <v>87952145</v>
    <v>2024</v>
  </rv>
  <rv s="2">
    <v>221</v>
  </rv>
  <rv s="18">
    <v>3</v>
  </rv>
  <rv s="18">
    <v>4</v>
  </rv>
  <rv s="19">
    <v>{8B0A669D-F7FB-4161-A1C8-AE3B584E7EB4}</v>
    <v>0</v>
    <v>42</v>
    <v>215</v>
    <v>215</v>
    <v>216</v>
    <v>217</v>
    <v>223</v>
    <v>224</v>
  </rv>
</rvData>
</file>

<file path=xl/richData/rdrichvaluestructure.xml><?xml version="1.0" encoding="utf-8"?>
<rvStructures xmlns="http://schemas.microsoft.com/office/spreadsheetml/2017/richdata" count="20">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error">
    <k n="errorType" t="i"/>
    <k n="propagated" t="b"/>
  </s>
  <s t="_array">
    <k n="array" t="a"/>
  </s>
  <s t="_datasourcecontainer">
    <k n="%XLUID" t="s"/>
    <k n="_CRID" t="i"/>
    <k n="_Display" t="spb"/>
    <k n="52 week high" t="r"/>
    <k n="52 week low" t="r"/>
    <k n="Change % (Ext. hrs)" t="r"/>
    <k n="P/E" t="r"/>
    <k n="Stocks" t="r"/>
    <k n="Year incorporated" t="r"/>
  </s>
</rvStructures>
</file>

<file path=xl/richData/rdsupportingpropertybag.xml><?xml version="1.0" encoding="utf-8"?>
<supportingPropertyBags xmlns="http://schemas.microsoft.com/office/spreadsheetml/2017/richdata2">
  <spbArrays count="14">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Price</v>
      <v t="s">Exchange</v>
      <v t="s">Official name</v>
      <v t="s">_SubLabel</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9">
      <v t="s">Stocks</v>
      <v t="s">Change % (Ext. hrs)</v>
      <v t="s">52 week high</v>
      <v t="s">52 week low</v>
      <v t="s">P/E</v>
      <v t="s">Year incorporated</v>
      <v t="s">_CRID</v>
      <v t="s">%XLUID</v>
      <v t="s">_Display</v>
    </a>
  </spbArrays>
  <spbData count="43">
    <spb s="0">
      <v>0</v>
      <v>Name</v>
      <v>LearnMoreOnLink</v>
    </spb>
    <spb s="1">
      <v>0</v>
      <v>0</v>
      <v>0</v>
    </spb>
    <spb s="2">
      <v>1</v>
      <v>1</v>
      <v>1</v>
      <v>1</v>
    </spb>
    <spb s="3">
      <v>1</v>
      <v>2</v>
      <v>2</v>
      <v>1</v>
      <v>3</v>
      <v>1</v>
      <v>1</v>
      <v>1</v>
      <v>4</v>
      <v>4</v>
      <v>5</v>
      <v>6</v>
      <v>1</v>
      <v>1</v>
      <v>1</v>
      <v>4</v>
      <v>7</v>
      <v>8</v>
      <v>9</v>
      <v>4</v>
    </spb>
    <spb s="4">
      <v>Delayed 20 minutes</v>
      <v>from previous close</v>
      <v>from previous close</v>
      <v>GMT</v>
    </spb>
    <spb s="0">
      <v>1</v>
      <v>Name</v>
      <v>LearnMoreOnLink</v>
    </spb>
    <spb s="5">
      <v>10</v>
      <v>2</v>
      <v>2</v>
      <v>10</v>
      <v>3</v>
      <v>10</v>
      <v>10</v>
      <v>10</v>
      <v>4</v>
      <v>4</v>
      <v>5</v>
      <v>11</v>
      <v>10</v>
      <v>10</v>
      <v>10</v>
      <v>4</v>
      <v>7</v>
      <v>8</v>
      <v>9</v>
      <v>4</v>
      <v>10</v>
      <v>10</v>
      <v>5</v>
    </spb>
    <spb s="6">
      <v>at close</v>
      <v>from previous close</v>
      <v>from previous close</v>
      <v>GMT</v>
      <v>Delayed 15 minutes</v>
      <v>from close</v>
      <v>from close</v>
    </spb>
    <spb s="7">
      <v>2</v>
      <v>Name</v>
    </spb>
    <spb s="8">
      <v>1</v>
      <v>1</v>
      <v>1</v>
    </spb>
    <spb s="9">
      <v>10</v>
      <v>10</v>
      <v>3</v>
      <v>10</v>
      <v>10</v>
      <v>10</v>
      <v>4</v>
      <v>4</v>
      <v>5</v>
      <v>11</v>
      <v>10</v>
      <v>10</v>
      <v>10</v>
      <v>4</v>
      <v>7</v>
      <v>8</v>
      <v>9</v>
      <v>4</v>
    </spb>
    <spb s="10">
      <v>Delayed 15 minutes</v>
      <v>from previous close</v>
      <v>from previous close</v>
      <v>Source: Nasdaq</v>
      <v>GMT</v>
    </spb>
    <spb s="3">
      <v>12</v>
      <v>2</v>
      <v>2</v>
      <v>12</v>
      <v>3</v>
      <v>12</v>
      <v>12</v>
      <v>12</v>
      <v>4</v>
      <v>4</v>
      <v>5</v>
      <v>13</v>
      <v>12</v>
      <v>12</v>
      <v>12</v>
      <v>4</v>
      <v>7</v>
      <v>8</v>
      <v>9</v>
      <v>4</v>
    </spb>
    <spb s="10">
      <v>Delayed 20 minutes</v>
      <v>from previous close</v>
      <v>from previous close</v>
      <v>Source: TWSE</v>
      <v>GMT</v>
    </spb>
    <spb s="0">
      <v>3</v>
      <v>Name</v>
      <v>LearnMoreOnLink</v>
    </spb>
    <spb s="11">
      <v>10</v>
      <v>2</v>
      <v>10</v>
      <v>3</v>
      <v>10</v>
      <v>10</v>
      <v>10</v>
      <v>4</v>
      <v>5</v>
      <v>11</v>
      <v>10</v>
      <v>10</v>
      <v>10</v>
      <v>4</v>
      <v>7</v>
      <v>8</v>
      <v>9</v>
      <v>4</v>
      <v>10</v>
      <v>10</v>
      <v>5</v>
    </spb>
    <spb s="12">
      <v>at close</v>
      <v>from previous close</v>
      <v>from previous close</v>
      <v>Source: Nasdaq Last Sale</v>
      <v>GMT</v>
      <v>Real-Time Nasdaq Last Sale</v>
      <v>from close</v>
      <v>from close</v>
    </spb>
    <spb s="3">
      <v>14</v>
      <v>2</v>
      <v>2</v>
      <v>14</v>
      <v>3</v>
      <v>14</v>
      <v>14</v>
      <v>14</v>
      <v>4</v>
      <v>4</v>
      <v>5</v>
      <v>15</v>
      <v>14</v>
      <v>14</v>
      <v>14</v>
      <v>4</v>
      <v>7</v>
      <v>8</v>
      <v>9</v>
      <v>4</v>
    </spb>
    <spb s="4">
      <v>Delayed 15 minutes</v>
      <v>from previous close</v>
      <v>from previous close</v>
      <v>GMT</v>
    </spb>
    <spb s="0">
      <v>4</v>
      <v>Name</v>
      <v>LearnMoreOnLink</v>
    </spb>
    <spb s="13">
      <v>14</v>
      <v>2</v>
      <v>2</v>
      <v>14</v>
      <v>3</v>
      <v>14</v>
      <v>14</v>
      <v>14</v>
      <v>4</v>
      <v>4</v>
      <v>5</v>
      <v>11</v>
      <v>14</v>
      <v>4</v>
      <v>7</v>
      <v>8</v>
      <v>9</v>
      <v>4</v>
    </spb>
    <spb s="0">
      <v>5</v>
      <v>Name</v>
      <v>LearnMoreOnLink</v>
    </spb>
    <spb s="14">
      <v>16</v>
      <v>2</v>
      <v>16</v>
      <v>3</v>
      <v>16</v>
      <v>16</v>
      <v>16</v>
      <v>4</v>
      <v>4</v>
      <v>5</v>
      <v>17</v>
      <v>16</v>
      <v>16</v>
      <v>16</v>
      <v>4</v>
      <v>7</v>
      <v>8</v>
      <v>9</v>
      <v>4</v>
    </spb>
    <spb s="15">
      <v>from previous close</v>
      <v>from previous close</v>
      <v>GMT</v>
    </spb>
    <spb s="5">
      <v>10</v>
      <v>2</v>
      <v>2</v>
      <v>10</v>
      <v>3</v>
      <v>10</v>
      <v>10</v>
      <v>10</v>
      <v>4</v>
      <v>4</v>
      <v>5</v>
      <v>6</v>
      <v>10</v>
      <v>10</v>
      <v>10</v>
      <v>4</v>
      <v>7</v>
      <v>8</v>
      <v>9</v>
      <v>4</v>
      <v>10</v>
      <v>10</v>
      <v>5</v>
    </spb>
    <spb s="0">
      <v>6</v>
      <v>Name</v>
      <v>LearnMoreOnLink</v>
    </spb>
    <spb s="14">
      <v>1</v>
      <v>2</v>
      <v>1</v>
      <v>3</v>
      <v>1</v>
      <v>1</v>
      <v>1</v>
      <v>4</v>
      <v>4</v>
      <v>5</v>
      <v>6</v>
      <v>1</v>
      <v>1</v>
      <v>1</v>
      <v>4</v>
      <v>7</v>
      <v>8</v>
      <v>9</v>
      <v>4</v>
    </spb>
    <spb s="12">
      <v>at close</v>
      <v>from previous close</v>
      <v>from previous close</v>
      <v>Source: Nasdaq</v>
      <v>GMT</v>
      <v>Delayed 15 minutes</v>
      <v>from close</v>
      <v>from close</v>
    </spb>
    <spb s="0">
      <v>7</v>
      <v>Name</v>
      <v>LearnMoreOnLink</v>
    </spb>
    <spb s="16">
      <v>10</v>
      <v>2</v>
      <v>10</v>
      <v>3</v>
      <v>10</v>
      <v>10</v>
      <v>10</v>
      <v>4</v>
      <v>4</v>
      <v>5</v>
      <v>11</v>
      <v>10</v>
      <v>10</v>
      <v>10</v>
      <v>4</v>
      <v>7</v>
      <v>8</v>
      <v>9</v>
      <v>4</v>
      <v>10</v>
      <v>10</v>
      <v>5</v>
    </spb>
    <spb s="7">
      <v>8</v>
      <v>Name</v>
    </spb>
    <spb s="17">
      <v>10</v>
      <v>2</v>
      <v>10</v>
      <v>3</v>
      <v>10</v>
      <v>10</v>
      <v>10</v>
      <v>4</v>
      <v>4</v>
      <v>5</v>
      <v>11</v>
      <v>10</v>
      <v>10</v>
      <v>10</v>
      <v>4</v>
      <v>7</v>
      <v>8</v>
      <v>9</v>
      <v>4</v>
      <v>10</v>
      <v>10</v>
      <v>5</v>
    </spb>
    <spb s="7">
      <v>9</v>
      <v>Name</v>
    </spb>
    <spb s="5">
      <v>10</v>
      <v>2</v>
      <v>2</v>
      <v>10</v>
      <v>3</v>
      <v>10</v>
      <v>10</v>
      <v>10</v>
      <v>4</v>
      <v>4</v>
      <v>5</v>
      <v>17</v>
      <v>10</v>
      <v>10</v>
      <v>10</v>
      <v>4</v>
      <v>7</v>
      <v>8</v>
      <v>9</v>
      <v>4</v>
      <v>10</v>
      <v>10</v>
      <v>5</v>
    </spb>
    <spb s="7">
      <v>10</v>
      <v>Name</v>
    </spb>
    <spb s="0">
      <v>11</v>
      <v>Name</v>
      <v>LearnMoreOnLink</v>
    </spb>
    <spb s="18">
      <v>0</v>
      <v>0</v>
    </spb>
    <spb s="19">
      <v>36</v>
      <v>1</v>
      <v>1</v>
      <v>1</v>
      <v>1</v>
    </spb>
    <spb s="20">
      <v>10</v>
      <v>2</v>
      <v>2</v>
      <v>10</v>
      <v>3</v>
      <v>10</v>
      <v>18</v>
      <v>10</v>
      <v>10</v>
      <v>4</v>
      <v>4</v>
      <v>5</v>
      <v>11</v>
      <v>10</v>
      <v>10</v>
      <v>10</v>
      <v>4</v>
      <v>7</v>
      <v>8</v>
      <v>9</v>
      <v>4</v>
      <v>10</v>
      <v>10</v>
      <v>5</v>
    </spb>
    <spb s="21">
      <v>Powered by Refinitiv</v>
    </spb>
    <spb s="0">
      <v>12</v>
      <v>Name</v>
      <v>LearnMoreOnLink</v>
    </spb>
    <spb s="22">
      <v>10</v>
      <v>2</v>
      <v>2</v>
      <v>10</v>
      <v>3</v>
      <v>10</v>
      <v>10</v>
      <v>10</v>
      <v>4</v>
      <v>4</v>
      <v>5</v>
      <v>11</v>
      <v>10</v>
      <v>10</v>
      <v>10</v>
      <v>4</v>
      <v>7</v>
      <v>9</v>
      <v>4</v>
      <v>10</v>
      <v>10</v>
      <v>5</v>
    </spb>
    <spb s="23">
      <v>13</v>
    </spb>
  </spbData>
</supportingPropertyBags>
</file>

<file path=xl/richData/rdsupportingpropertybagstructure.xml><?xml version="1.0" encoding="utf-8"?>
<spbStructures xmlns="http://schemas.microsoft.com/office/spreadsheetml/2017/richdata2" count="24">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Order" t="spba"/>
    <k n="TitleProperty" t="s"/>
  </s>
  <s>
    <k n="ExchangeID" t="spb"/>
    <k n="UniqueName" t="spb"/>
    <k n="`%ProviderInfo" t="spb"/>
  </s>
  <s>
    <k n="Low"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Order" t="spba"/>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1">
      <rpv i="0">_-[$$-en-CA]* #,##0.00_-;-[$$-en-CA]* #,##0.00_-;_-[$$-en-CA]* "-"??_-;_-@_-</rpv>
    </rSty>
    <rSty dxfid="5">
      <rpv i="0">#,##0.00</rpv>
    </rSty>
    <rSty>
      <rpv i="1">1</rpv>
    </rSty>
    <rSty dxfid="4">
      <rpv i="0">#,##0</rpv>
    </rSty>
    <rSty dxfid="3"/>
    <rSty dxfid="1">
      <rpv i="0">_-[$$-en-CA]* #,##0_-;-[$$-en-CA]* #,##0_-;_-[$$-en-CA]* "-"_-;_-@_-</rpv>
    </rSty>
    <rSty dxfid="2"/>
    <rSty dxfid="6">
      <rpv i="0">0</rpv>
    </rSty>
    <rSty dxfid="0">
      <rpv i="0">0.00</rpv>
    </rSty>
    <rSty dxfid="1">
      <rpv i="0">_([$$-en-US]* #,##0.00_);_([$$-en-US]* (#,##0.00);_([$$-en-US]* "-"??_);_(@_)</rpv>
    </rSty>
    <rSty dxfid="1">
      <rpv i="0">_([$$-en-US]* #,##0_);_([$$-en-US]* (#,##0);_([$$-en-US]* "-"_);_(@_)</rpv>
    </rSty>
    <rSty dxfid="1">
      <rpv i="0">_-[$NT$-zh-TW]* #,##0.00_-;-[$NT$-zh-TW]* #,##0.00_-;_-[$NT$-zh-TW]* "-"??_-;_-@_-</rpv>
    </rSty>
    <rSty dxfid="1">
      <rpv i="0">_-[$NT$-zh-TW]* #,##0_-;-[$NT$-zh-TW]* #,##0_-;_-[$NT$-zh-TW]* "-"_-;_-@_-</rpv>
    </rSty>
    <rSty dxfid="1">
      <rpv i="0">_([$€-x-euro2] * #,##0.00_);_([$€-x-euro2] * (#,##0.00);_([$€-x-euro2] * "-"??_);_(@_)</rpv>
    </rSty>
    <rSty dxfid="1">
      <rpv i="0">_([$€-x-euro2] * #,##0_);_([$€-x-euro2] * (#,##0);_([$€-x-euro2] * "-"_);_(@_)</rpv>
    </rSty>
    <rSty dxfid="7">
      <rpv i="0">_(* #,##0.00_);_(* (#,##0.00);_(* "-"??_);_(@_)</rpv>
    </rSty>
    <rSty dxfid="1">
      <rpv i="0" xml:space="preserve">_ [$₪-he-IL] * #,##0_ ;_ [$₪-he-IL] * -#,##0_ ;_ [$₪-he-IL] * "-"_ ;_ @_ </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B13F89-F09C-4DFD-B0BB-3A9671C27F0B}" name="Table9" displayName="Table9" ref="A1:Q69" totalsRowShown="0">
  <autoFilter ref="A1:Q69" xr:uid="{F9B13F89-F09C-4DFD-B0BB-3A9671C27F0B}"/>
  <sortState xmlns:xlrd2="http://schemas.microsoft.com/office/spreadsheetml/2017/richdata2" ref="A2:Q69">
    <sortCondition descending="1" ref="G1:G69"/>
  </sortState>
  <tableColumns count="17">
    <tableColumn id="1" xr3:uid="{334829C6-90B5-4FB0-9846-D23A639BEA9C}" name="Stocks"/>
    <tableColumn id="2" xr3:uid="{EC078E68-3550-4B17-93DE-09BE462D7E7B}" name="Ticker symbol" dataDxfId="47">
      <calculatedColumnFormula array="1">_FV(Table9[[#This Row],[Stocks]],"Ticker symbol",TRUE)</calculatedColumnFormula>
    </tableColumn>
    <tableColumn id="3" xr3:uid="{0BD37EBA-A108-48AF-AF96-C351C0FB00E5}" name="Industry">
      <calculatedColumnFormula array="1">_FV(Table9[[#This Row],[Stocks]],"Industry")</calculatedColumnFormula>
    </tableColumn>
    <tableColumn id="4" xr3:uid="{6C516C4F-0ADE-4605-B97C-63B1D62796C6}" name="Market cap" dataDxfId="46">
      <calculatedColumnFormula array="1">_FV(Table9[[#This Row],[Stocks]],"Market cap",TRUE)</calculatedColumnFormula>
    </tableColumn>
    <tableColumn id="5" xr3:uid="{7023142B-5155-45F0-BBFE-F653606CCFD1}" name="Price" dataDxfId="45">
      <calculatedColumnFormula array="1">_FV(Table9[[#This Row],[Stocks]],"Price")</calculatedColumnFormula>
    </tableColumn>
    <tableColumn id="6" xr3:uid="{F6AF7C33-31DB-4B07-8A71-6F271F59CF57}" name="Change (%)" dataDxfId="44">
      <calculatedColumnFormula array="1">_FV(Table9[[#This Row],[Stocks]],"Change (%)",TRUE)</calculatedColumnFormula>
    </tableColumn>
    <tableColumn id="7" xr3:uid="{BABF5F63-CF2C-4408-9689-0D6EFE57F88B}" name="Change % (Ext. hrs)" dataDxfId="43">
      <calculatedColumnFormula array="1">_FV(Table9[[#This Row],[Stocks]],"Change % (Extended hours)",TRUE)</calculatedColumnFormula>
    </tableColumn>
    <tableColumn id="8" xr3:uid="{C81C521B-4BD8-4D7A-8E19-EB4B766EBF0F}" name="52 week high" dataDxfId="42">
      <calculatedColumnFormula array="1">_FV(Table9[[#This Row],[Stocks]],"52 week high",TRUE)</calculatedColumnFormula>
    </tableColumn>
    <tableColumn id="9" xr3:uid="{964EF435-4311-4DDE-98CF-A7A9F4542A1D}" name="52 week low" dataDxfId="41">
      <calculatedColumnFormula array="1">_FV(Table9[[#This Row],[Stocks]],"52 week low",TRUE)</calculatedColumnFormula>
    </tableColumn>
    <tableColumn id="10" xr3:uid="{E0F9BA89-1F66-4832-91C8-9750E4C5D767}" name="Volume" dataDxfId="40" dataCellStyle="Comma">
      <calculatedColumnFormula array="1">_FV(Table9[[#This Row],[Stocks]],"Volume")</calculatedColumnFormula>
    </tableColumn>
    <tableColumn id="11" xr3:uid="{D91EB842-B88B-4B06-8AB4-E264D9B90595}" name="Volume average" dataDxfId="39" dataCellStyle="Comma">
      <calculatedColumnFormula array="1">_FV(Table9[[#This Row],[Stocks]],"Volume average",TRUE)</calculatedColumnFormula>
    </tableColumn>
    <tableColumn id="12" xr3:uid="{DD2CBC37-4A7D-4C09-B6DC-96A34AEFE1A1}" name="Shares outstanding" dataDxfId="38" dataCellStyle="Comma">
      <calculatedColumnFormula array="1">_FV(Table9[[#This Row],[Stocks]],"Shares outstanding",TRUE)</calculatedColumnFormula>
    </tableColumn>
    <tableColumn id="13" xr3:uid="{C464BC4C-BC45-4121-9967-8EEE4E6F9BCA}" name="P/E" dataCellStyle="Comma">
      <calculatedColumnFormula array="1">_FV(Table9[[#This Row],[Stocks]],"P/E",TRUE)</calculatedColumnFormula>
    </tableColumn>
    <tableColumn id="14" xr3:uid="{B26A73BF-7F8E-4C19-9D29-E27A1D8C3FBE}" name="Year incorporated" dataDxfId="37">
      <calculatedColumnFormula array="1">_FV(Table9[[#This Row],[Stocks]],"Year incorporated",TRUE)</calculatedColumnFormula>
    </tableColumn>
    <tableColumn id="15" xr3:uid="{3C5E2718-DD78-44EB-A0DC-5D5DE66BD86F}" name="Exchange" dataDxfId="36">
      <calculatedColumnFormula array="1">_FV(Table9[[#This Row],[Stocks]],"Exchange")</calculatedColumnFormula>
    </tableColumn>
    <tableColumn id="16" xr3:uid="{5EC8C95A-91FA-4276-BFC7-0026930E94EE}" name="Headquarters" dataDxfId="35">
      <calculatedColumnFormula array="1">_FV(Table9[[#This Row],[Stocks]],"Headquarters")</calculatedColumnFormula>
    </tableColumn>
    <tableColumn id="18" xr3:uid="{CE504EB8-EE20-41EA-A178-F760F0881FA4}" name="Country"/>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88A921-D3E4-422F-8AAF-3E5F769C7673}" name="Table2" displayName="Table2" ref="A4:Y100" totalsRowShown="0">
  <autoFilter ref="A4:Y100" xr:uid="{B788A921-D3E4-422F-8AAF-3E5F769C7673}">
    <filterColumn colId="9">
      <filters>
        <filter val="-0.29%"/>
        <filter val="1.25%"/>
        <filter val="1.31%"/>
        <filter val="-1.38%"/>
        <filter val="-10.02%"/>
        <filter val="10.74%"/>
        <filter val="10.75%"/>
        <filter val="-10.97%"/>
        <filter val="-102.70%"/>
        <filter val="-107.90%"/>
        <filter val="12.11%"/>
        <filter val="12.17%"/>
        <filter val="12.62%"/>
        <filter val="-13.55%"/>
        <filter val="13.80%"/>
        <filter val="-14.45%"/>
        <filter val="15.01%"/>
        <filter val="-15.29%"/>
        <filter val="-15.77%"/>
        <filter val="-158.27%"/>
        <filter val="16.50%"/>
        <filter val="17.01%"/>
        <filter val="-171.83%"/>
        <filter val="-18.20%"/>
        <filter val="19.27%"/>
        <filter val="-23.00%"/>
        <filter val="-26.91%"/>
        <filter val="-26.96%"/>
        <filter val="-32.32%"/>
        <filter val="32.73%"/>
        <filter val="-37.75%"/>
        <filter val="-43.11%"/>
        <filter val="5.28%"/>
        <filter val="-5.29%"/>
        <filter val="5.52%"/>
        <filter val="5.71%"/>
        <filter val="6.00%"/>
        <filter val="6.10%"/>
        <filter val="62.71%"/>
        <filter val="-64.37%"/>
        <filter val="65.82%"/>
        <filter val="7.24%"/>
        <filter val="7.49%"/>
        <filter val="8.10%"/>
        <filter val="-8.37%"/>
        <filter val="8.75%"/>
        <filter val="-82.03%"/>
        <filter val="-86.17%"/>
      </filters>
    </filterColumn>
  </autoFilter>
  <sortState xmlns:xlrd2="http://schemas.microsoft.com/office/spreadsheetml/2017/richdata2" ref="A5:Y55">
    <sortCondition descending="1" ref="C4:C100"/>
  </sortState>
  <tableColumns count="25">
    <tableColumn id="1" xr3:uid="{185B977F-BD28-4013-85E2-E84E63568638}" name="Symbol"/>
    <tableColumn id="2" xr3:uid="{EC45AA9E-2812-47E0-87DA-252106CE1C7C}" name="200-Day Moving Average"/>
    <tableColumn id="3" xr3:uid="{D764E247-3232-4FE5-A3C3-35C7B3A32FE0}" name="Float" dataDxfId="32" dataCellStyle="Comma"/>
    <tableColumn id="4" xr3:uid="{73F8B097-4C31-4D2D-91D3-F4FE9C0DF915}" name="Shares Insiders" dataDxfId="31" dataCellStyle="Percent"/>
    <tableColumn id="5" xr3:uid="{F64CCCF0-CDCD-4DE7-B692-A3AE64C32E3F}" name="Shares Institut." dataDxfId="30" dataCellStyle="Percent"/>
    <tableColumn id="6" xr3:uid="{211DA378-D296-4CDE-AB73-E7F3E0639019}" name="Short % Shares" dataDxfId="29" dataCellStyle="Percent"/>
    <tableColumn id="7" xr3:uid="{12DE7DAB-CCA6-4298-888A-FAEAC7F5D8CF}" name="PS Ratio" dataDxfId="28"/>
    <tableColumn id="8" xr3:uid="{0886D2A2-D3D9-40FC-8E15-2152E0D17598}" name="PE Ratio" dataDxfId="27"/>
    <tableColumn id="9" xr3:uid="{904CE9E5-8000-455B-879B-C15AA4047554}" name="PEG Ratio" dataDxfId="26"/>
    <tableColumn id="10" xr3:uid="{8F9D87A2-9DA1-47B2-B816-CAE9F80C148F}" name="Operating Margin" dataDxfId="25" dataCellStyle="Percent"/>
    <tableColumn id="11" xr3:uid="{46E34F95-A57B-4370-9059-41197817BDEC}" name="Profit Margin" dataDxfId="24" dataCellStyle="Percent"/>
    <tableColumn id="12" xr3:uid="{139E490D-40CA-424A-B466-42868B7FD739}" name="Free Cash Flow" dataDxfId="23" dataCellStyle="Currency"/>
    <tableColumn id="13" xr3:uid="{0426A97D-D1D0-41BC-9A68-26F852D29F71}" name="Total Debt" dataDxfId="22" dataCellStyle="Currency"/>
    <tableColumn id="14" xr3:uid="{5301041A-6023-4D49-9BFA-EDB854DB8586}" name="Debt / Equity" dataDxfId="21"/>
    <tableColumn id="15" xr3:uid="{74EC4D4E-DAB4-42AA-A921-6ABC43711809}" name="Revenue Growth (Q)" dataDxfId="20" dataCellStyle="Percent"/>
    <tableColumn id="16" xr3:uid="{CE808BBA-9539-47FD-ADD5-4981ABE180DE}" name="Revenue Growth (YoY)" dataDxfId="19" dataCellStyle="Percent"/>
    <tableColumn id="17" xr3:uid="{08E3ABC1-D1B3-4EBA-A152-6703D04519B5}" name="Revenue Growth (3Y)" dataDxfId="18" dataCellStyle="Percent"/>
    <tableColumn id="18" xr3:uid="{63F8ADB1-5841-41D1-A4A0-1EE9716E7A89}" name="Revenue Growth (5Y)" dataDxfId="17" dataCellStyle="Percent"/>
    <tableColumn id="19" xr3:uid="{46F73162-2527-4C2F-858D-BF38E20435FA}" name="EPS" dataDxfId="16"/>
    <tableColumn id="20" xr3:uid="{12712A14-3209-44B5-932D-D14F011BD5B0}" name="EPS Growth" dataDxfId="15" dataCellStyle="Percent"/>
    <tableColumn id="21" xr3:uid="{3C26489D-95DB-44F7-BC40-48F0AEF91946}" name="EPS Growth (3Y)" dataDxfId="14" dataCellStyle="Percent"/>
    <tableColumn id="22" xr3:uid="{492A142C-04D4-41AA-97A0-C1F34F5C9CB9}" name="EPS Growth (5Y)" dataDxfId="13" dataCellStyle="Percent"/>
    <tableColumn id="23" xr3:uid="{FAE3ACC4-1F5B-4737-ACB6-55A568CE8264}" name="Options"/>
    <tableColumn id="24" xr3:uid="{3D08C58F-FA08-45BB-9443-3B4DA8C34344}" name="Analyst Count"/>
    <tableColumn id="25" xr3:uid="{D2C836E2-6B53-49B5-BA0D-ADD69DDDC510}" name="IPO Date" dataDxfId="12"/>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613" row="7">
    <wetp:webextensionref xmlns:r="http://schemas.openxmlformats.org/officeDocument/2006/relationships" r:id="rId1"/>
  </wetp:taskpane>
  <wetp:taskpane dockstate="right" visibility="0" width="613"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668B18B1-74DF-45FD-8B8A-A6C5C28BBDB9}">
  <we:reference id="wa104379220" version="8.0.0.0" store="en-US" storeType="OMEX"/>
  <we:alternateReferences>
    <we:reference id="WA104379220" version="8.0.0.0" store="WA104379220" storeType="OMEX"/>
  </we:alternateReferences>
  <we:properties>
    <we:property name="Office.AutoShowTaskpaneWithDocument" value="true"/>
    <we:property name="lastCryptoCompare" value="0"/>
    <we:property name="lastIexCall" value="1739554566101"/>
    <we:property name="lastInfo" value="{&quot;GRRR&quot;:{&quot;time&quot;:1739554570077,&quot;updateTime&quot;:1739554500000,&quot;price&quot;:&quot;25.75&quot;,&quot;name&quot;:&quot;Gorilla Technology Group Inc&quot;,&quot;prevClose&quot;:30.340520796512312,&quot;timeZone&quot;:&quot;EST&quot;},&quot;MSFT&quot;:{&quot;time&quot;:1739554570077,&quot;updateTime&quot;:1739543400000,&quot;price&quot;:&quot;407.20&quot;,&quot;name&quot;:&quot;Microsoft Corp&quot;,&quot;prevClose&quot;:410.5252545619518}}"/>
    <we:property name="lastMutualFundsCall" value="0"/>
    <we:property name="stocks" value="{}"/>
    <we:property name="stocksChange" value="{}"/>
    <we:property name="stocksOrder" value="[]"/>
    <we:property name="stocksSources" value="{}"/>
    <we:property name="updateIntervalIndex" value="2"/>
  </we:properties>
  <we:bindings/>
  <we:snapshot xmlns:r="http://schemas.openxmlformats.org/officeDocument/2006/relationships"/>
</we:webextension>
</file>

<file path=xl/webextensions/webextension2.xml><?xml version="1.0" encoding="utf-8"?>
<we:webextension xmlns:we="http://schemas.microsoft.com/office/webextensions/webextension/2010/11" id="{0F35F527-493B-4022-810E-1BF794520F5C}">
  <we:reference id="wa200005477" version="1.0.0.0" store="en-US" storeType="OMEX"/>
  <we:alternateReferences>
    <we:reference id="WA200005477" version="1.0.0.0" store="WA20000547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_xldudf_MXLS_GETHISTORY</we:customFunctionIds>
        <we:customFunctionIds>_xldudf_MXLS_GETUSEFULLISTS</we:customFunctionIds>
        <we:customFunctionIds>_xldudf_MXLS_ONEYEARCLOSE</we:customFunctionIds>
        <we:customFunctionIds>_xldudf_MXLS_FINANCIALSTATEMENTS</we:customFunctionIds>
        <we:customFunctionIds>_xldudf_MXLS_DIVIDENDHISTORY</we:customFunctionIds>
        <we:customFunctionIds>_xldudf_MXLS_SPLITHISTORY</we:customFunctionIds>
        <we:customFunctionIds>_xldudf_MXLS_ANGELONEMAP</we:customFunctionIds>
        <we:customFunctionIds>_xldudf_MXLS_ANGELONELAST</we:customFunctionIds>
        <we:customFunctionIds>_xldudf_MXLS_ANGELONEVOLUME</we:customFunctionIds>
        <we:customFunctionIds>_xldudf_MXLS_ANGELONEOPEN</we:customFunctionIds>
        <we:customFunctionIds>_xldudf_MXLS_ANGELONELOW</we:customFunctionIds>
        <we:customFunctionIds>_xldudf_MXLS_ANGELONEHIGH</we:customFunctionIds>
        <we:customFunctionIds>_xldudf_MXLS_ANGELONEPREVIOUSCLOSE</we:customFunctionIds>
        <we:customFunctionIds>_xldudf_MXLS_ANGELONEBUYQUANTITY</we:customFunctionIds>
        <we:customFunctionIds>_xldudf_MXLS_ANGELONESELLQUANTITY</we:customFunctionIds>
        <we:customFunctionIds>_xldudf_MXLS_ANGELONE_GETHISTORY</we:customFunctionIds>
        <we:customFunctionIds>_xldudf_MXLS_KITEZERODHALAST</we:customFunctionIds>
        <we:customFunctionIds>_xldudf_MXLS_ZERODHALAST</we:customFunctionIds>
        <we:customFunctionIds>_xldudf_MXLS_ZERODHABUYQUANTITY</we:customFunctionIds>
        <we:customFunctionIds>_xldudf_MXLS_ZERODHASELLQUANTITY</we:customFunctionIds>
        <we:customFunctionIds>_xldudf_MXLS_ZERODHAVOLUME</we:customFunctionIds>
        <we:customFunctionIds>_xldudf_MXLS_ZERODHAOPEN</we:customFunctionIds>
        <we:customFunctionIds>_xldudf_MXLS_ZERODHAHIGH</we:customFunctionIds>
        <we:customFunctionIds>_xldudf_MXLS_ZERODHALOW</we:customFunctionIds>
        <we:customFunctionIds>_xldudf_MXLS_ZERODHAPREVIOUSCLOSE</we:customFunctionIds>
        <we:customFunctionIds>_xldudf_MXLS_ZERODHACHANGE</we:customFunctionIds>
        <we:customFunctionIds>_xldudf_MXLS_ZERODHALASTTRADETIME</we:customFunctionIds>
        <we:customFunctionIds>_xldudf_MXLS_ZERODHAOPENINTEREST</we:customFunctionIds>
        <we:customFunctionIds>_xldudf_MXLS_ZERODHAOPENINTERESTDAYLOW</we:customFunctionIds>
        <we:customFunctionIds>_xldudf_MXLS_ZERODHAOPENINTERESTDAYHIGH</we:customFunctionIds>
        <we:customFunctionIds>_xldudf_MXLS_KITEZERODHAMAP</we:customFunctionIds>
        <we:customFunctionIds>_xldudf_MXLS_QM_LIST</we:customFunctionIds>
        <we:customFunctionIds>_xldudf_MXLS_EXPIRATIONS</we:customFunctionIds>
        <we:customFunctionIds>_xldudf_MXLS_STRIKES</we:customFunctionIds>
        <we:customFunctionIds>_xldudf_MXLS_QM_GETHISTORY</we:customFunctionIds>
        <we:customFunctionIds>_xldudf_MXLS_QM_GETOPTIONCHAIN</we:customFunctionIds>
        <we:customFunctionIds>_xldudf_MXLS_QM_GETOPTIONCHAINATTHEMONEY</we:customFunctionIds>
        <we:customFunctionIds>_xldudf_MXLS_QM_GETOPTIONCHAININTHEMONEY</we:customFunctionIds>
        <we:customFunctionIds>_xldudf_MXLS_QM_GETOPTIONCHAINOUTOFTHEMONEY</we:customFunctionIds>
        <we:customFunctionIds>_xldudf_MXLS_QM_GETOPTIONCHAINMONTHLIES</we:customFunctionIds>
        <we:customFunctionIds>_xldudf_MXLS_QM_GETOPTIONCHAINWEEKLIES</we:customFunctionIds>
        <we:customFunctionIds>_xldudf_MXLS_QM_GETOPTIONCHAINQUARTERLIES</we:customFunctionIds>
        <we:customFunctionIds>_xldudf_MXLS_QM_GETOPTIONCHAINNEARTERM</we:customFunctionIds>
        <we:customFunctionIds>_xldudf_MXLS_QM_GETOPTIONCHAINACTIVE</we:customFunctionIds>
        <we:customFunctionIds>_xldudf_MXLS_QM_GETOPTIONEXPIREMINIMUM</we:customFunctionIds>
        <we:customFunctionIds>_xldudf_MXLS_QM_GETOPTIONEXPIREMAXIMUM</we:customFunctionIds>
        <we:customFunctionIds>_xldudf_MXLS_QM_GETOPTIONCHAINSTRUCTURED</we:customFunctionIds>
        <we:customFunctionIds>_xldudf_MXLS_QM_GETRECENTOPTIONSTATS</we:customFunctionIds>
        <we:customFunctionIds>_xldudf_MXLS_QM_GETOPTIONMARKETSTATS</we:customFunctionIds>
        <we:customFunctionIds>_xldudf_MXLS_TOPOPTIONSBYVOLUME</we:customFunctionIds>
        <we:customFunctionIds>_xldudf_MXLS_TOPOPTIONSBYOPENINTEREST</we:customFunctionIds>
        <we:customFunctionIds>_xldudf_MXLS_QM_GETOPTIONQUOTESANDGREEKS</we:customFunctionIds>
        <we:customFunctionIds>_xldudf_MXLS_QM_GETINTRADAYDATAFIVEMINUTES</we:customFunctionIds>
        <we:customFunctionIds>_xldudf_MXLS_QM_GETINTRADAYDATAONEMINUTES</we:customFunctionIds>
        <we:customFunctionIds>_xldudf_MXLS_QM_GETINTRADAYDATAFIFTEENMINUTES</we:customFunctionIds>
        <we:customFunctionIds>_xldudf_MXLS_QM_GETINTRADAYDATAONEHOUR</we:customFunctionIds>
        <we:customFunctionIds>_xldudf_MXLS_QM_GETINTRADAYDATAFOURHOUR</we:customFunctionIds>
        <we:customFunctionIds>_xldudf_MXLS_QM_LISTDYNAMIC</we:customFunctionIds>
        <we:customFunctionIds>_xldudf_MXLS_EXPIRATIONSDYNAMIC</we:customFunctionIds>
        <we:customFunctionIds>_xldudf_MXLS_STRIKESDYNAMIC</we:customFunctionIds>
        <we:customFunctionIds>_xldudf_MXLS_QM_GETHISTORYDYNAMIC</we:customFunctionIds>
        <we:customFunctionIds>_xldudf_MXLS_QM_GETOPTIONCHAINDYNAMIC</we:customFunctionIds>
        <we:customFunctionIds>_xldudf_MXLS_QM_GETOPTIONCHAINATTHEMONEYDYNAMIC</we:customFunctionIds>
        <we:customFunctionIds>_xldudf_MXLS_QM_GETOPTIONCHAININTHEMONEYDYNAMIC</we:customFunctionIds>
        <we:customFunctionIds>_xldudf_MXLS_QM_GETOPTIONCHAINOUTOFTHEMONEYDYNAMIC</we:customFunctionIds>
        <we:customFunctionIds>_xldudf_MXLS_QM_GETOPTIONCHAINMONTHLIESDYNAMIC</we:customFunctionIds>
        <we:customFunctionIds>_xldudf_MXLS_QM_GETOPTIONCHAINWEEKLIESDYNAMIC</we:customFunctionIds>
        <we:customFunctionIds>_xldudf_MXLS_QM_GETOPTIONCHAINQUARTERLIESDYNAMIC</we:customFunctionIds>
        <we:customFunctionIds>_xldudf_MXLS_QM_GETOPTIONCHAINNEARTERMDYNAMIC</we:customFunctionIds>
        <we:customFunctionIds>_xldudf_MXLS_QM_GETOPTIONCHAINACTIVEDYNAMIC</we:customFunctionIds>
        <we:customFunctionIds>_xldudf_MXLS_QM_GETOPTIONEXPIREMINIMUMDYNAMIC</we:customFunctionIds>
        <we:customFunctionIds>_xldudf_MXLS_QM_GETOPTIONEXPIREMAXIMUMDYNAMIC</we:customFunctionIds>
        <we:customFunctionIds>_xldudf_MXLS_QM_GETOPTIONCHAINSTRUCTUREDDYNAMIC</we:customFunctionIds>
        <we:customFunctionIds>_xldudf_MXLS_QM_GETRECENTOPTIONSTATSDYNAMIC</we:customFunctionIds>
        <we:customFunctionIds>_xldudf_MXLS_QM_GETOPTIONMARKETSTATSDYNAMIC</we:customFunctionIds>
        <we:customFunctionIds>_xldudf_MXLS_TOPOPTIONSBYVOLUMEDYNAMIC</we:customFunctionIds>
        <we:customFunctionIds>_xldudf_MXLS_TOPOPTIONSBYOPENINTERESTDYNAMIC</we:customFunctionIds>
        <we:customFunctionIds>_xldudf_MXLS_QM_GETOPTIONQUOTESANDGREEKSDYNAMIC</we:customFunctionIds>
        <we:customFunctionIds>_xldudf_MXLS_QM_GETINTRADAYDATAFIVEMINUTESDYNAMIC</we:customFunctionIds>
        <we:customFunctionIds>_xldudf_MXLS_QM_GETINTRADAYDATAONEMINUTESDYNAMIC</we:customFunctionIds>
        <we:customFunctionIds>_xldudf_MXLS_QM_GETINTRADAYDATAFIFTEENMINUTESDYNAMIC</we:customFunctionIds>
        <we:customFunctionIds>_xldudf_MXLS_QM_GETINTRADAYDATAONEHOURDYNAMIC</we:customFunctionIds>
        <we:customFunctionIds>_xldudf_MXLS_QM_GETINTRADAYDATAFOURHOURDYNAMIC</we:customFunctionIds>
        <we:customFunctionIds>_xldudf_MXLS_QM_VALUE</we:customFunctionIds>
        <we:customFunctionIds>_xldudf_MXLS_QM_LAST</we:customFunctionIds>
        <we:customFunctionIds>_xldudf_MXLS_QM_CHANGE</we:customFunctionIds>
        <we:customFunctionIds>_xldudf_MXLS_QM_CHANGEPERCENT</we:customFunctionIds>
        <we:customFunctionIds>_xldudf_MXLS_QM_OPEN</we:customFunctionIds>
        <we:customFunctionIds>_xldudf_MXLS_QM_HIGH</we:customFunctionIds>
        <we:customFunctionIds>_xldudf_MXLS_QM_LOW</we:customFunctionIds>
        <we:customFunctionIds>_xldudf_MXLS_QM_BID</we:customFunctionIds>
        <we:customFunctionIds>_xldudf_MXLS_QM_ASK</we:customFunctionIds>
        <we:customFunctionIds>_xldudf_MXLS_QM_BIDSIZE</we:customFunctionIds>
        <we:customFunctionIds>_xldudf_MXLS_QM_ASKSIZE</we:customFunctionIds>
        <we:customFunctionIds>_xldudf_MXLS_QM_RAWASKSIZE</we:customFunctionIds>
        <we:customFunctionIds>_xldudf_MXLS_QM_RAWBIDSIZE</we:customFunctionIds>
        <we:customFunctionIds>_xldudf_MXLS_QM_SHAREVOLUME</we:customFunctionIds>
        <we:customFunctionIds>_xldudf_MXLS_QM_TRADEVOLUME</we:customFunctionIds>
        <we:customFunctionIds>_xldudf_MXLS_QM_DATETIME</we:customFunctionIds>
        <we:customFunctionIds>_xldudf_MXLS_QM_PREVIOUSCLOSE</we:customFunctionIds>
        <we:customFunctionIds>_xldudf_MXLS_QM_MARKETCAP</we:customFunctionIds>
        <we:customFunctionIds>_xldudf_MXLS_QM_EPS</we:customFunctionIds>
        <we:customFunctionIds>_xldudf_MXLS_QM_SHARESOUTSTANDING</we:customFunctionIds>
        <we:customFunctionIds>_xldudf_MXLS_QM_PAYDATE</we:customFunctionIds>
        <we:customFunctionIds>_xldudf_MXLS_QM_CALLPUT</we:customFunctionIds>
        <we:customFunctionIds>_xldudf_MXLS_QM_EXPIRYDATE</we:customFunctionIds>
        <we:customFunctionIds>_xldudf_MXLS_QM_STRIKE</we:customFunctionIds>
        <we:customFunctionIds>_xldudf_MXLS_QM_OPENINTEREST</we:customFunctionIds>
        <we:customFunctionIds>_xldudf_MXLS_QM_CONTRACTHIGH</we:customFunctionIds>
        <we:customFunctionIds>_xldudf_MXLS_QM_CONTRACTLOW</we:customFunctionIds>
        <we:customFunctionIds>_xldudf_MXLS_MYSYMBOLS</we:customFunctionIds>
        <we:customFunctionIds>_xldudf_MXLS_ADDSYMBOLS</we:customFunctionIds>
        <we:customFunctionIds>_xldudf_MXLS_REMOVESYMBOLS</we:customFunctionIds>
        <we:customFunctionIds>_xldudf_MXLS_HF_REVENUE</we:customFunctionIds>
        <we:customFunctionIds>_xldudf_MXLS_HF_SELLING_GENERAL_AND_ADMINISTRATIVE_EXPENSE</we:customFunctionIds>
        <we:customFunctionIds>_xldudf_MXLS_HF_TOTAL_ASSETS</we:customFunctionIds>
        <we:customFunctionIds>_xldudf_MXLS_HF_COST_OF_REVENUE</we:customFunctionIds>
        <we:customFunctionIds>_xldudf_MXLS_HF_GROSS_PROFIT</we:customFunctionIds>
        <we:customFunctionIds>_xldudf_MXLS_HF_RANDD_EXPENSES</we:customFunctionIds>
        <we:customFunctionIds>_xldudf_MXLS_HF_SGNA</we:customFunctionIds>
        <we:customFunctionIds>_xldudf_MXLS_HF_EBIT</we:customFunctionIds>
        <we:customFunctionIds>_xldudf_MXLS_HF_EARNING_BEFORE_INTEREST_AND_TAXES_EBIT</we:customFunctionIds>
        <we:customFunctionIds>_xldudf_MXLS_HF_EBIT_USD</we:customFunctionIds>
        <we:customFunctionIds>_xldudf_MXLS_HF_INTEREST_EXPENSE</we:customFunctionIds>
        <we:customFunctionIds>_xldudf_MXLS_HF_EARNINGS_BEFORE_TAX</we:customFunctionIds>
        <we:customFunctionIds>_xldudf_MXLS_HF_INCOME_TAX_EXPENSE</we:customFunctionIds>
        <we:customFunctionIds>_xldudf_MXLS_HF_NET_INCOME</we:customFunctionIds>
        <we:customFunctionIds>_xldudf_MXLS_HF_PREFERRED_DIVIDENDS_INCOME_STATEMENT_IMPACT</we:customFunctionIds>
        <we:customFunctionIds>_xldudf_MXLS_HF_NET_INCOME_COMMON_STOCK</we:customFunctionIds>
        <we:customFunctionIds>_xldudf_MXLS_HF_NET_INCOME_COMMON_STOCK_USD</we:customFunctionIds>
        <we:customFunctionIds>_xldudf_MXLS_HF_NET_INCOME_FROM_DISCONTINUED_OPERATIONS</we:customFunctionIds>
        <we:customFunctionIds>_xldudf_MXLS_HF_EARNINGS_PER_BASIC_SHARE</we:customFunctionIds>
        <we:customFunctionIds>_xldudf_MXLS_HF_EARNINGS_PER_BASIC_SHARE_USD</we:customFunctionIds>
        <we:customFunctionIds>_xldudf_MXLS_HF_EARNINGS_PER_DILUTED_SHARE</we:customFunctionIds>
        <we:customFunctionIds>_xldudf_MXLS_HF_WEIGHTED_AVERAGE_SHARES</we:customFunctionIds>
        <we:customFunctionIds>_xldudf_MXLS_HF_WEIGHTED_AVERAGE_SHARES_DILUTED</we:customFunctionIds>
        <we:customFunctionIds>_xldudf_MXLS_HF_DIVIDENDS_PER_BASIC_COMMON_SHARE</we:customFunctionIds>
        <we:customFunctionIds>_xldudf_MXLS_HF_NET_CASH_FLOW_FROM_OPERATIONS</we:customFunctionIds>
        <we:customFunctionIds>_xldudf_MXLS_HF_DEPRECIATION_AMORTIZATION_AND_ACCRETION</we:customFunctionIds>
        <we:customFunctionIds>_xldudf_MXLS_HF_NET_CASH_FLOW_FROM_INVESTING</we:customFunctionIds>
        <we:customFunctionIds>_xldudf_MXLS_HF_CAPITAL_EXPENDITURE</we:customFunctionIds>
        <we:customFunctionIds>_xldudf_MXLS_HF_NET_CASH_FLOW_FROM_FINANCING</we:customFunctionIds>
        <we:customFunctionIds>_xldudf_MXLS_HF_ISSUANCE_REPAYMENT_OF_DEBT_SECURITIES</we:customFunctionIds>
        <we:customFunctionIds>_xldudf_MXLS_HF_ISSUANCE_PURCHASE_OF_EQUITY_SHARES</we:customFunctionIds>
        <we:customFunctionIds>_xldudf_MXLS_HF_PAYMENT_OF_DIVIDENDS_AND_OTHER_CASH_DISTRIBUTIONS</we:customFunctionIds>
        <we:customFunctionIds>_xldudf_MXLS_HF_EFFECT_OF_EXCHANGE_RATE_CHANGES_ON_CASH</we:customFunctionIds>
        <we:customFunctionIds>_xldudf_MXLS_HF_NET_CASH_FLOW_CHANGE_IN_CASH_AND_CASH_EQUIVALENTS</we:customFunctionIds>
        <we:customFunctionIds>_xldudf_MXLS_HF_CURRENT_ASSETS</we:customFunctionIds>
        <we:customFunctionIds>_xldudf_MXLS_HF_ASSETS_NON_CURRENT</we:customFunctionIds>
        <we:customFunctionIds>_xldudf_MXLS_HF_CASH_AND_EQUIVALENTS</we:customFunctionIds>
        <we:customFunctionIds>_xldudf_MXLS_HF_CASH_AND_EQUIVALENTS_USD</we:customFunctionIds>
        <we:customFunctionIds>_xldudf_MXLS_HF_TRADE_AND_NON_TRADE_RECEIVABLES</we:customFunctionIds>
        <we:customFunctionIds>_xldudf_MXLS_HF_GOODWILL_AND_INTANGIBLE_ASSETS</we:customFunctionIds>
        <we:customFunctionIds>_xldudf_MXLS_HF_INVENTORY</we:customFunctionIds>
        <we:customFunctionIds>_xldudf_MXLS_HF_TOTAL_LIABILITIES</we:customFunctionIds>
        <we:customFunctionIds>_xldudf_MXLS_HF_CURRENT_LIABILITIES</we:customFunctionIds>
        <we:customFunctionIds>_xldudf_MXLS_HF_LIABILITIES_NON_CURRENT</we:customFunctionIds>
        <we:customFunctionIds>_xldudf_MXLS_HF_TOTAL_DEBT</we:customFunctionIds>
        <we:customFunctionIds>_xldudf_MXLS_HF_TOTAL_DEBT_USD</we:customFunctionIds>
        <we:customFunctionIds>_xldudf_MXLS_HF_TRADE_AND_NON_TRADE_PAYABLES</we:customFunctionIds>
        <we:customFunctionIds>_xldudf_MXLS_HF_SHAREHOLDERS_EQUITY</we:customFunctionIds>
        <we:customFunctionIds>_xldudf_MXLS_HF_SHAREHOLDERS_EQUITY_USD</we:customFunctionIds>
        <we:customFunctionIds>_xldudf_MXLS_HF_ACCUMULATED_RETAINED_EARNINGS_DEFICIT</we:customFunctionIds>
        <we:customFunctionIds>_xldudf_MXLS_HF_INVESTMENTS</we:customFunctionIds>
        <we:customFunctionIds>_xldudf_MXLS_HF_INVESTMENTS_CURRENT</we:customFunctionIds>
        <we:customFunctionIds>_xldudf_MXLS_HF_INVESTMENTS_NONCURRENT</we:customFunctionIds>
        <we:customFunctionIds>_xldudf_MXLS_HF_ACCUMULATED_OTHER_COMPREHENSIVE_INCOME</we:customFunctionIds>
        <we:customFunctionIds>_xldudf_MXLS_HF_ASSET_TURNOVER</we:customFunctionIds>
        <we:customFunctionIds>_xldudf_MXLS_HF_AVERAGE_ASSETS</we:customFunctionIds>
        <we:customFunctionIds>_xldudf_MXLS_HF_BOOK_VALUE_PER_SHARE</we:customFunctionIds>
        <we:customFunctionIds>_xldudf_MXLS_HF_CURRENT_RATIO</we:customFunctionIds>
        <we:customFunctionIds>_xldudf_MXLS_HF_DEBT_TO_EQUITY_RATIO</we:customFunctionIds>
        <we:customFunctionIds>_xldudf_MXLS_HF_SHARE_DILUTION_RATIO</we:customFunctionIds>
        <we:customFunctionIds>_xldudf_MXLS_HF_DIVIDEND_YIELD</we:customFunctionIds>
        <we:customFunctionIds>_xldudf_MXLS_HF_EBITDA</we:customFunctionIds>
        <we:customFunctionIds>_xldudf_MXLS_HF_EBITDA_USD</we:customFunctionIds>
        <we:customFunctionIds>_xldudf_MXLS_HF_EBITDA_MARGIN</we:customFunctionIds>
        <we:customFunctionIds>_xldudf_MXLS_HF_EPS_DILUTED_GROWTH</we:customFunctionIds>
        <we:customFunctionIds>_xldudf_MXLS_HF_EPS_GROWTH</we:customFunctionIds>
        <we:customFunctionIds>_xldudf_MXLS_HF_AVERAGE_EQUITY</we:customFunctionIds>
        <we:customFunctionIds>_xldudf_MXLS_HF_ENTERPRISE_VALUE</we:customFunctionIds>
        <we:customFunctionIds>_xldudf_MXLS_HF_ENTERPRISE_VALUE_OVER_EBIT</we:customFunctionIds>
        <we:customFunctionIds>_xldudf_MXLS_HF_ENTERPRISE_VALUE_OVER_EBITDA</we:customFunctionIds>
        <we:customFunctionIds>_xldudf_MXLS_HF_FREE_CASH_FLOW</we:customFunctionIds>
        <we:customFunctionIds>_xldudf_MXLS_HF_FREE_CASH_FLOW_PER_SHARE</we:customFunctionIds>
        <we:customFunctionIds>_xldudf_MXLS_HF_FOREIGN_CURRENCY_TO_USD_EXCHANGE_RATE</we:customFunctionIds>
        <we:customFunctionIds>_xldudf_MXLS_HF_GROSS_MARGIN</we:customFunctionIds>
        <we:customFunctionIds>_xldudf_MXLS_HF_FINANCIAL_LEVERAGE</we:customFunctionIds>
        <we:customFunctionIds>_xldudf_MXLS_HF_INVESTED_CAPITAL</we:customFunctionIds>
        <we:customFunctionIds>_xldudf_MXLS_HF_INVESTED_CAPITAL_AVERAGE</we:customFunctionIds>
        <we:customFunctionIds>_xldudf_MXLS_HF_LEVERAGE_RATIO</we:customFunctionIds>
        <we:customFunctionIds>_xldudf_MXLS_HF_MARKET_CAPITALIZATION</we:customFunctionIds>
        <we:customFunctionIds>_xldudf_MXLS_HF_NCFO_GROWTH</we:customFunctionIds>
        <we:customFunctionIds>_xldudf_MXLS_HF_NET_INCOME_GROWTH</we:customFunctionIds>
        <we:customFunctionIds>_xldudf_MXLS_HF_PROFIT_MARGIN</we:customFunctionIds>
        <we:customFunctionIds>_xldudf_MXLS_HF_PRICE_EARNINGS_DAMODARAN_METHOD</we:customFunctionIds>
        <we:customFunctionIds>_xldudf_MXLS_HF_PRICE_TO_EARNINGS_RATIO</we:customFunctionIds>
        <we:customFunctionIds>_xldudf_MXLS_HF_PRICE_TO_SALES_RATIO</we:customFunctionIds>
        <we:customFunctionIds>_xldudf_MXLS_HF_PRICE_SALES_DAMODARAN_METHOD</we:customFunctionIds>
        <we:customFunctionIds>_xldudf_MXLS_HF_PRICE_TO_BOOK_VALUE</we:customFunctionIds>
        <we:customFunctionIds>_xldudf_MXLS_HF_REVENUE_GROWTH</we:customFunctionIds>
        <we:customFunctionIds>_xldudf_MXLS_HF_RETUN_ON_INVESTED_CAPITAL</we:customFunctionIds>
        <we:customFunctionIds>_xldudf_MXLS_HF_WEIGHTED_AVERAGE_SHARE_GROWTH</we:customFunctionIds>
        <we:customFunctionIds>_xldudf_MXLS_HF_SALES_PER_SHARE</we:customFunctionIds>
        <we:customFunctionIds>_xldudf_MXLS_HF_PAYOUT_RATIO</we:customFunctionIds>
        <we:customFunctionIds>_xldudf_MXLS_HF_RETURN_ON_AVERAGE_ASSETS</we:customFunctionIds>
        <we:customFunctionIds>_xldudf_MXLS_HF_RETURN_ON_AVERAGE_EQUITY</we:customFunctionIds>
        <we:customFunctionIds>_xldudf_MXLS_HF_RETURN_ON_SALES</we:customFunctionIds>
        <we:customFunctionIds>_xldudf_MXLS_HF_TANGIBLE_ASSET_VALUE</we:customFunctionIds>
        <we:customFunctionIds>_xldudf_MXLS_HF_TAX_EFFICIENCY</we:customFunctionIds>
        <we:customFunctionIds>_xldudf_MXLS_HF_TANGIBLE_ASSET_BOOK_VALUE_PER_SHARE</we:customFunctionIds>
        <we:customFunctionIds>_xldudf_MXLS_HF_WORKING_CAPITAL</we:customFunctionIds>
        <we:customFunctionIds>_xldudf_MXLS_HF_MATERIAL_CORPORATE_EVENTS</we:customFunctionIds>
        <we:customFunctionIds>_xldudf_MXLS_HF_FILING_DATE_TO_REPORT_PERIOD_MAPPING</we:customFunctionIds>
        <we:customFunctionIds>_xldudf_MXLS_HF_FILING_DATE_TO_REPORT_TYPE_MAPPING</we:customFunctionIds>
        <we:customFunctionIds>_xldudf_MXLS_HF_DATE_KEY</we:customFunctionIds>
        <we:customFunctionIds>_xldudf_MXLS_HF_LAST_UPDATED</we:customFunctionIds>
        <we:customFunctionIds>_xldudf_MXLS_HF_SHARE_FACTOR</we:customFunctionIds>
        <we:customFunctionIds>_xldudf_MXLS_HF_OPERATING_EXPENSES</we:customFunctionIds>
        <we:customFunctionIds>_xldudf_MXLS_HF_OPERATING_INCOME</we:customFunctionIds>
        <we:customFunctionIds>_xldudf_MXLS_HF_CONSOLIDATED_INCOME</we:customFunctionIds>
        <we:customFunctionIds>_xldudf_MXLS_HF_NET_INCOME_TO_NON_CONTROLLING_INTERESTS</we:customFunctionIds>
        <we:customFunctionIds>_xldudf_MXLS_HF_SHARE_BASED_COMPENSATION</we:customFunctionIds>
        <we:customFunctionIds>_xldudf_MXLS_HF_NET_CASH_FLOW_BUSINESS_ACQUISITIONS_AND_DISPOSALS</we:customFunctionIds>
        <we:customFunctionIds>_xldudf_MXLS_HF_NET_CASH_FLOW_INVESTMENT_ACQUISITIONS_AND_DISPOSALS</we:customFunctionIds>
        <we:customFunctionIds>_xldudf_MXLS_HF_DEBT_CURRENT</we:customFunctionIds>
        <we:customFunctionIds>_xldudf_MXLS_HF_DEBT_NON_CURRENT</we:customFunctionIds>
        <we:customFunctionIds>_xldudf_MXLS_HF_DEFERRED_REVENUE</we:customFunctionIds>
        <we:customFunctionIds>_xldudf_MXLS_HF_DEPOSIT_LIABILITIES</we:customFunctionIds>
        <we:customFunctionIds>_xldudf_MXLS_HF_PROPERTY_PLANT_EQUIPMENT_NET</we:customFunctionIds>
        <we:customFunctionIds>_xldudf_MXLS_HF_TAX_ASSETS</we:customFunctionIds>
        <we:customFunctionIds>_xldudf_MXLS_HF_TAX_LIABILITIES</we:customFunctionIds>
        <we:customFunctionIds>_xldudf_MXLS_HF_ADJUSTMENTS_TO_REVENUE</we:customFunctionIds>
        <we:customFunctionIds>_xldudf_MXLS_HF_COST_OF_SALES</we:customFunctionIds>
        <we:customFunctionIds>_xldudf_MXLS_HF_ADVERTISING</we:customFunctionIds>
        <we:customFunctionIds>_xldudf_MXLS_HF_DEPRECIATION</we:customFunctionIds>
        <we:customFunctionIds>_xldudf_MXLS_HF_DEPRECIATION_UNRECONCILED</we:customFunctionIds>
        <we:customFunctionIds>_xldudf_MXLS_HF_AMORTIZATION</we:customFunctionIds>
        <we:customFunctionIds>_xldudf_MXLS_HF_OPERATING_INCOME_AFTER_DEPRECIATION</we:customFunctionIds>
        <we:customFunctionIds>_xldudf_MXLS_HF_INTEREST_INCOME</we:customFunctionIds>
        <we:customFunctionIds>_xldudf_MXLS_HF_EARNINGS_FROM_EQUITY_INTEREST</we:customFunctionIds>
        <we:customFunctionIds>_xldudf_MXLS_HF_OTHER_INCOME_NET</we:customFunctionIds>
        <we:customFunctionIds>_xldudf_MXLS_HF_INCOME_ACQUIRED_IN_PROCESS_RANDD</we:customFunctionIds>
        <we:customFunctionIds>_xldudf_MXLS_HF_INCOME_RESTRUCTURING_AND_MANDA</we:customFunctionIds>
        <we:customFunctionIds>_xldudf_MXLS_HF_OTHER_SPECIAL_CHARGES</we:customFunctionIds>
        <we:customFunctionIds>_xldudf_MXLS_HF_SPECIAL_INCOME_CHARGES</we:customFunctionIds>
        <we:customFunctionIds>_xldudf_MXLS_HF_PRE_TAX_INCOME_EBT</we:customFunctionIds>
        <we:customFunctionIds>_xldudf_MXLS_HF_PREFERRED_SECURITIES_OF_SUBSIDIARY_TRUST</we:customFunctionIds>
        <we:customFunctionIds>_xldudf_MXLS_HF_NET_INCOME_FROM_CONTINUING_OPERATIONS</we:customFunctionIds>
        <we:customFunctionIds>_xldudf_MXLS_HF_NET_INCOME_FROM_TOTAL_OPERATIONS</we:customFunctionIds>
        <we:customFunctionIds>_xldudf_MXLS_HF_EXTRAORDINARY_INCOME_LOSSES</we:customFunctionIds>
        <we:customFunctionIds>_xldudf_MXLS_HF_INCOME_FROM_CUMULATIVE_EFFECT_OF_ACCOUNTING_CHG</we:customFunctionIds>
        <we:customFunctionIds>_xldudf_MXLS_HF_INCOME_FROM_TAX_LOSS_CARRY_FORWARD</we:customFunctionIds>
        <we:customFunctionIds>_xldudf_MXLS_HF_OTHER_GAINS_LOSSES</we:customFunctionIds>
        <we:customFunctionIds>_xldudf_MXLS_HF_NORMALIZED_INCOME</we:customFunctionIds>
        <we:customFunctionIds>_xldudf_MXLS_HF_EXCISE_TAXES</we:customFunctionIds>
        <we:customFunctionIds>_xldudf_MXLS_HF_BASIC_EPS_FROM_CONTINUING_OPERATIONS</we:customFunctionIds>
        <we:customFunctionIds>_xldudf_MXLS_HF_BASIC_EPS_FROM_DISCONTINUED_OPERATIONS</we:customFunctionIds>
        <we:customFunctionIds>_xldudf_MXLS_HF_BASIC_EPS_FROM_TOTAL_OPERATIONS</we:customFunctionIds>
        <we:customFunctionIds>_xldudf_MXLS_HF_BASIC_EPS_FROM_EXTRAORDINARY_INCOME</we:customFunctionIds>
        <we:customFunctionIds>_xldudf_MXLS_HF_BASIC_EPS_FROM_CUMULATIVE_EFFECT_OF_ACCOUNTING_CHG</we:customFunctionIds>
        <we:customFunctionIds>_xldudf_MXLS_HF_BASIC_EPS_FROM_TAX_LOSS_CARRY_FORWARD</we:customFunctionIds>
        <we:customFunctionIds>_xldudf_MXLS_HF_BASIC_EPS_FROM_OTHER_GAINS_LOSSES</we:customFunctionIds>
        <we:customFunctionIds>_xldudf_MXLS_HF_BASIC_NORMALIZED_NET_INCOME_SHARE</we:customFunctionIds>
        <we:customFunctionIds>_xldudf_MXLS_HF_DILUTED_EPS_FROM_CONTINUING_OPERATIONS</we:customFunctionIds>
        <we:customFunctionIds>_xldudf_MXLS_HF_DILUTED_EPS_FROM_DISCONTINUED_OPERATIONS</we:customFunctionIds>
        <we:customFunctionIds>_xldudf_MXLS_HF_DILUTED_EPS_FROM_TOTAL_OPERATIONS</we:customFunctionIds>
        <we:customFunctionIds>_xldudf_MXLS_HF_DILUTED_EPS_FROM_EXTRAORDINARY_INCOME</we:customFunctionIds>
        <we:customFunctionIds>_xldudf_MXLS_HF_DILUTED_EPS_FROM_CUMULATIVE_EFFECT_OF_ACCOUNTING_CHG</we:customFunctionIds>
        <we:customFunctionIds>_xldudf_MXLS_HF_DILUTED_EPS_FROM_TAX_LOSS_CARRY_FORWARD</we:customFunctionIds>
        <we:customFunctionIds>_xldudf_MXLS_HF_DILUTED_EPS_FROM_OTHER_GAINS_LOSSES</we:customFunctionIds>
        <we:customFunctionIds>_xldudf_MXLS_HF_DILUTED_EPS_TOTAL</we:customFunctionIds>
        <we:customFunctionIds>_xldudf_MXLS_HF_REVENUES_YEAR_TO_DATE</we:customFunctionIds>
        <we:customFunctionIds>_xldudf_MXLS_HF_DILUTED_EPS_FROM_TOTAL_OPERATIONS_YEAR_TO_DATE</we:customFunctionIds>
        <we:customFunctionIds>_xldudf_MXLS_HF_DIVIDENDS_PAID_PER_SHARE_YEAR_TO_DATE</we:customFunctionIds>
        <we:customFunctionIds>_xldudf_MXLS_HF_RESTRICTED_CASH</we:customFunctionIds>
        <we:customFunctionIds>_xldudf_MXLS_HF_ACCOUNTS_RECEIVABLE</we:customFunctionIds>
        <we:customFunctionIds>_xldudf_MXLS_HF_LOANS_RECEIVABLE</we:customFunctionIds>
        <we:customFunctionIds>_xldudf_MXLS_HF_OTHER_RECEIVABLE</we:customFunctionIds>
        <we:customFunctionIds>_xldudf_MXLS_HF_RAW_MATERIALS</we:customFunctionIds>
        <we:customFunctionIds>_xldudf_MXLS_HF_WORK_IN_PROGRESS</we:customFunctionIds>
        <we:customFunctionIds>_xldudf_MXLS_HF_PURCHASED_COMPONENTS</we:customFunctionIds>
        <we:customFunctionIds>_xldudf_MXLS_HF_FINISHED_GOODS</we:customFunctionIds>
        <we:customFunctionIds>_xldudf_MXLS_HF_OTHER_INVENTORIES</we:customFunctionIds>
        <we:customFunctionIds>_xldudf_MXLS_HF_INVENTORIES_ADJUSTMENTS_AND_ALLOWANCES</we:customFunctionIds>
        <we:customFunctionIds>_xldudf_MXLS_HF_PREPAID_EXPENSES</we:customFunctionIds>
        <we:customFunctionIds>_xldudf_MXLS_HF_OTHER_CURRENT_ASSETS</we:customFunctionIds>
        <we:customFunctionIds>_xldudf_MXLS_HF_LAND_AND_IMPROVEMENTS</we:customFunctionIds>
        <we:customFunctionIds>_xldudf_MXLS_HF_BUILDING_AND_IMPROVEMENTS</we:customFunctionIds>
        <we:customFunctionIds>_xldudf_MXLS_HF_MACHINERY_FURNITURE_AND_EQUIPMENT</we:customFunctionIds>
        <we:customFunctionIds>_xldudf_MXLS_HF_CONSTRUCTION_IN_PROGRESS</we:customFunctionIds>
        <we:customFunctionIds>_xldudf_MXLS_HF_OTHER_FIXED_ASSETS</we:customFunctionIds>
        <we:customFunctionIds>_xldudf_MXLS_HF_TOTAL_FIXED_ASSETS</we:customFunctionIds>
        <we:customFunctionIds>_xldudf_MXLS_HF_GROSS_FIXED_ASSETS_PLANT_PROPERTY_AND_EQUIPMENT</we:customFunctionIds>
        <we:customFunctionIds>_xldudf_MXLS_HF_ACCUMULATED_DEPRECIATION_AND_DEPLETION</we:customFunctionIds>
        <we:customFunctionIds>_xldudf_MXLS_HF_COST_IN_EXCESS</we:customFunctionIds>
        <we:customFunctionIds>_xldudf_MXLS_HF_NON_CURRENT_DEFERRED_INCOME_TAXES</we:customFunctionIds>
        <we:customFunctionIds>_xldudf_MXLS_HF_OTHER_NON_CURRENT_ASSETS</we:customFunctionIds>
        <we:customFunctionIds>_xldudf_MXLS_HF_INVENTORY_VALUATION_METHOD</we:customFunctionIds>
        <we:customFunctionIds>_xldudf_MXLS_HF_NOTES_PAYABLE</we:customFunctionIds>
        <we:customFunctionIds>_xldudf_MXLS_HF_SHORT_TERM_DEBT</we:customFunctionIds>
        <we:customFunctionIds>_xldudf_MXLS_HF_ACCRUED_EXPENSES</we:customFunctionIds>
        <we:customFunctionIds>_xldudf_MXLS_HF_ACCRUED_LIABILITIES</we:customFunctionIds>
        <we:customFunctionIds>_xldudf_MXLS_HF_CURRENT_DEFERRED_INCOME_TAXES</we:customFunctionIds>
        <we:customFunctionIds>_xldudf_MXLS_HF_LONG_TERM_DEBT</we:customFunctionIds>
        <we:customFunctionIds>_xldudf_MXLS_HF_CAPITAL_LEASE_OBLIGATIONS</we:customFunctionIds>
        <we:customFunctionIds>_xldudf_MXLS_HF_DEFERRED_INCOME_TAXES</we:customFunctionIds>
        <we:customFunctionIds>_xldudf_MXLS_HF_MINORITY_INTEREST</we:customFunctionIds>
        <we:customFunctionIds>_xldudf_MXLS_HF_PREFERRED_EQUITY_OUTSIDE_STOCK_EQUITY</we:customFunctionIds>
        <we:customFunctionIds>_xldudf_MXLS_HF_PREFERRED_STOCK_EQUITY</we:customFunctionIds>
        <we:customFunctionIds>_xldudf_MXLS_HF_COMMON_STOCK_EQUITY</we:customFunctionIds>
        <we:customFunctionIds>_xldudf_MXLS_HF_COMMON_PAR</we:customFunctionIds>
        <we:customFunctionIds>_xldudf_MXLS_HF_ADDITIONAL_PAID_IN_CAPITAL</we:customFunctionIds>
        <we:customFunctionIds>_xldudf_MXLS_HF_CUMULATIVE_TRANSLATION_ADJUSTMENT</we:customFunctionIds>
        <we:customFunctionIds>_xldudf_MXLS_HF_TREASURY_STOCK</we:customFunctionIds>
        <we:customFunctionIds>_xldudf_MXLS_HF_TOTAL_LIABILITIES_AND_STOCK_EQUITY</we:customFunctionIds>
        <we:customFunctionIds>_xldudf_MXLS_HF_CASH_FLOW</we:customFunctionIds>
        <we:customFunctionIds>_xldudf_MXLS_HF_SHARES_OUTSTANDING_COMMON_CLASS_ONLY</we:customFunctionIds>
        <we:customFunctionIds>_xldudf_MXLS_HF_PREFERRED_SHARES</we:customFunctionIds>
        <we:customFunctionIds>_xldudf_MXLS_HF_TOTAL_ORDINARY_SHARES</we:customFunctionIds>
        <we:customFunctionIds>_xldudf_MXLS_HF_TOTAL_COMMON_SHARES_OUTSTANDING</we:customFunctionIds>
        <we:customFunctionIds>_xldudf_MXLS_HF_TREASURY_SHARES</we:customFunctionIds>
        <we:customFunctionIds>_xldudf_MXLS_HF_NUMBER_OF_EMPLOYEES</we:customFunctionIds>
        <we:customFunctionIds>_xldudf_MXLS_HF_NUMBER_OF_PART_TIME_EMPLOYEES</we:customFunctionIds>
        <we:customFunctionIds>_xldudf_MXLS_HF_AMORTIZATION_OF_INTANGIBLES</we:customFunctionIds>
        <we:customFunctionIds>_xldudf_MXLS_HF_OPERATING_GAINS_LOSSES</we:customFunctionIds>
        <we:customFunctionIds>_xldudf_MXLS_HF_EXTRAORDINARY_GAINS_LOSSES</we:customFunctionIds>
        <we:customFunctionIds>_xldudf_MXLS_HF_INCREASE_DECREASE_IN_RECEIVABLES</we:customFunctionIds>
        <we:customFunctionIds>_xldudf_MXLS_HF_INCREASE_DECREASE_IN_INVENTORIES</we:customFunctionIds>
        <we:customFunctionIds>_xldudf_MXLS_HF_INCREASE_DECREASE_IN_PREPAID_EXPENSES</we:customFunctionIds>
        <we:customFunctionIds>_xldudf_MXLS_HF_INCREASE_DECREASE_IN_OTHER_CURRENT_ASSETS</we:customFunctionIds>
        <we:customFunctionIds>_xldudf_MXLS_HF_INCREASE_DECREASE_IN_PAYABLES</we:customFunctionIds>
        <we:customFunctionIds>_xldudf_MXLS_HF_INCREASE_DECREASE_IN_OTHER_CURRENT_LIABILITIES</we:customFunctionIds>
        <we:customFunctionIds>_xldudf_MXLS_HF_INCREASE_DECREASE_IN_OTHER_WORKING_CAPITAL</we:customFunctionIds>
        <we:customFunctionIds>_xldudf_MXLS_HF_OTHER_NON_CASH_ITEMS</we:customFunctionIds>
        <we:customFunctionIds>_xldudf_MXLS_HF_NET_CASH_FROM_CONTINUING_OPERATIONS</we:customFunctionIds>
        <we:customFunctionIds>_xldudf_MXLS_HF_NET_CASH_FROM_DISCONTINUED_OPERATIONS</we:customFunctionIds>
        <we:customFunctionIds>_xldudf_MXLS_HF_SALE_OF_PROPERTY_PLANT_EQUIPMENT</we:customFunctionIds>
        <we:customFunctionIds>_xldudf_MXLS_HF_SALE_OF_LONG_TERM_INVESTMENTS</we:customFunctionIds>
        <we:customFunctionIds>_xldudf_MXLS_HF_SALE_OF_SHORT_TERM_INVESTMENTS</we:customFunctionIds>
        <we:customFunctionIds>_xldudf_MXLS_HF_PURCHASE_OF_LONG_TERM_INVESTMENTS</we:customFunctionIds>
        <we:customFunctionIds>_xldudf_MXLS_HF_PURCHASE_OF_SHORT_TERM_INVESTMENTS</we:customFunctionIds>
        <we:customFunctionIds>_xldudf_MXLS_HF_OTHER_INVESTING_CHANGES_NET</we:customFunctionIds>
        <we:customFunctionIds>_xldudf_MXLS_HF_CASH_FROM_DISC__INVESTING_ACTIVITIES</we:customFunctionIds>
        <we:customFunctionIds>_xldudf_MXLS_HF_ISSUANCE_OF_DEBT</we:customFunctionIds>
        <we:customFunctionIds>_xldudf_MXLS_HF_ISSUANCE_OF_CAPITAL_STOCK</we:customFunctionIds>
        <we:customFunctionIds>_xldudf_MXLS_HF_REPURCHASE_OF_CAPITAL_STOCK</we:customFunctionIds>
        <we:customFunctionIds>_xldudf_MXLS_HF_OTHER_FINANCING_CHARGES_NET</we:customFunctionIds>
        <we:customFunctionIds>_xldudf_MXLS_HF_CASH_FROM_DISC__FINANCING_ACTIVITIES</we:customFunctionIds>
        <we:customFunctionIds>_xldudf_MXLS_HF_NET_CHANGE_IN_CASH_AND_CASH_EQUIVALENTS</we:customFunctionIds>
        <we:customFunctionIds>_xldudf_MXLS_HF_CASH_AT_BEGINNING_OF_PERIOD</we:customFunctionIds>
        <we:customFunctionIds>_xldudf_MXLS_HF_CASH_AT_END_OF_PERIOD</we:customFunctionIds>
        <we:customFunctionIds>_xldudf_MXLS_HF_FOREIGN_SALES</we:customFunctionIds>
        <we:customFunctionIds>_xldudf_MXLS_HF_DOMESTIC_SALES</we:customFunctionIds>
        <we:customFunctionIds>_xldudf_MXLS_HF_AUDITORS_NAME_AUD__NAME_AND_AUD__OP_</we:customFunctionIds>
        <we:customFunctionIds>_xldudf_MXLS_HF_AUDITORS_REPORT_AUD__NAME_AND_AUD__OP_</we:customFunctionIds>
        <we:customFunctionIds>_xldudf_MXLS_HF_CLOSE_PRICE_EARNINGS_RATIO</we:customFunctionIds>
        <we:customFunctionIds>_xldudf_MXLS_HF_HIGH_PRICE_EARNINGS_RATIO</we:customFunctionIds>
        <we:customFunctionIds>_xldudf_MXLS_HF_LOW_PRICE_EARNINGS_RATIO</we:customFunctionIds>
        <we:customFunctionIds>_xldudf_MXLS_HF_GROSS_PROFIT_MARGIN_PROFIT_MARGIN_AFTER_CGS</we:customFunctionIds>
        <we:customFunctionIds>_xldudf_MXLS_HF_PRE_TAX_PROFIT_MARGIN</we:customFunctionIds>
        <we:customFunctionIds>_xldudf_MXLS_HF_POST_TAX_PROFIT_MARGIN</we:customFunctionIds>
        <we:customFunctionIds>_xldudf_MXLS_HF_INTEREST_COVERAGE_FROM_CONTINUING_OPERATIONS</we:customFunctionIds>
        <we:customFunctionIds>_xldudf_MXLS_HF_INTEREST_AS_A_PERCENTAGE_OF_INVESTED_CAPITAL</we:customFunctionIds>
        <we:customFunctionIds>_xldudf_MXLS_HF_EFFECTIVE_TAX_RATE</we:customFunctionIds>
        <we:customFunctionIds>_xldudf_MXLS_HF_INCOME_PER_EMPLOYEE</we:customFunctionIds>
        <we:customFunctionIds>_xldudf_MXLS_HF_NORMALIZED_LOW_PRICE_EARNINGS_RATIO</we:customFunctionIds>
        <we:customFunctionIds>_xldudf_MXLS_HF_NORMALIZED_NET_PROFIT_MARGIN</we:customFunctionIds>
        <we:customFunctionIds>_xldudf_MXLS_HF_NORMALIZED_RETURN_ON_STOCK_EQUITY</we:customFunctionIds>
        <we:customFunctionIds>_xldudf_MXLS_HF_NORMALIZED_RETURN_ON_ASSETS</we:customFunctionIds>
        <we:customFunctionIds>_xldudf_MXLS_HF_NORMALIZED_RETURN_ON_INVESTED_CAPITAL</we:customFunctionIds>
        <we:customFunctionIds>_xldudf_MXLS_HF_NORMALIZED_INCOME_PER_EMPLOYEE</we:customFunctionIds>
        <we:customFunctionIds>_xldudf_MXLS_HF_QUICK_RATIO</we:customFunctionIds>
        <we:customFunctionIds>_xldudf_MXLS_HF_LONG_TERM_DEBT_TO_TOTAL_CAPITAL</we:customFunctionIds>
        <we:customFunctionIds>_xldudf_MXLS_HF_CASH_AS_A_PERCENTAGE_OF_REVENUE</we:customFunctionIds>
        <we:customFunctionIds>_xldudf_MXLS_HF_RECEIVABLES_AS_A_PERCENTAGE_OF_REVENUE</we:customFunctionIds>
        <we:customFunctionIds>_xldudf_MXLS_HF_SGANDA_EXPENSE_AS_PERCENTAGE_OF_REVENUE</we:customFunctionIds>
        <we:customFunctionIds>_xldudf_MXLS_HF_RANDD_EXPENSE_AS_PERCENTAGE_OF_REVENUE</we:customFunctionIds>
        <we:customFunctionIds>_xldudf_MXLS_HF_REVENUE_PER_DOLLAR_PLANT_NET</we:customFunctionIds>
        <we:customFunctionIds>_xldudf_MXLS_HF_REVENUE_PER_DOLLAR_COMMON_EQUITY</we:customFunctionIds>
        <we:customFunctionIds>_xldudf_MXLS_HF_REVENUE_PER_DOLLAR_INVESTED_CAPITAL</we:customFunctionIds>
        <we:customFunctionIds>_xldudf_MXLS_HF_RECEIVABLE_TURNOVER</we:customFunctionIds>
        <we:customFunctionIds>_xldudf_MXLS_HF_INVENTORY_TURNOVER</we:customFunctionIds>
        <we:customFunctionIds>_xldudf_MXLS_HF_SALES_PER_DOLLAR_RECEIVABLES</we:customFunctionIds>
        <we:customFunctionIds>_xldudf_MXLS_HF_SALES_PER_DOLLAR_INVENTORY</we:customFunctionIds>
        <we:customFunctionIds>_xldudf_MXLS_HF_REVENUE_TO_ASSETS</we:customFunctionIds>
        <we:customFunctionIds>_xldudf_MXLS_HF_NUMBER_OF_DAYS_COST_OF_GOODS_SOLD_IN_INVENTORY</we:customFunctionIds>
        <we:customFunctionIds>_xldudf_MXLS_HF_CURRENT_ASSETS_PER_SHARE</we:customFunctionIds>
        <we:customFunctionIds>_xldudf_MXLS_HF_TOTAL_ASSETS_PER_SHARE</we:customFunctionIds>
        <we:customFunctionIds>_xldudf_MXLS_HF_INTANGIBLES_AS_PERCENTAGE_BOOK_VALUE</we:customFunctionIds>
        <we:customFunctionIds>_xldudf_MXLS_HF_INVENTORY_AS_PERCENTAGE_REVENUE</we:customFunctionIds>
        <we:customFunctionIds>_xldudf_MXLS_HF_LONG_TERM_DEBT_PER_SHARE</we:customFunctionIds>
        <we:customFunctionIds>_xldudf_MXLS_HF_CURRENT_LIABILITIES_PER_SHARE</we:customFunctionIds>
        <we:customFunctionIds>_xldudf_MXLS_HF_CASH_PER_SHARE</we:customFunctionIds>
        <we:customFunctionIds>_xldudf_MXLS_HF_LONG_TERM_DEBT_TO_EQUITY_RATIO</we:customFunctionIds>
        <we:customFunctionIds>_xldudf_MXLS_HF_LONG_TERM_DEBT_AS_PERCENTAGE_OF_INVESTED_CAPITAL</we:customFunctionIds>
        <we:customFunctionIds>_xldudf_MXLS_HF_LONG_TERM_DEBT_AS_PERCENTAGE_OF_TOTAL_LIABILITIES</we:customFunctionIds>
        <we:customFunctionIds>_xldudf_MXLS_HF_TOTAL_LIABILITIES_AS_A_PERCENTAGE_OF_TOTAL_ASSETS</we:customFunctionIds>
        <we:customFunctionIds>_xldudf_MXLS_HF_WORKING_CAPITAL_AS_A_PERCENTAGE_OF_EQUITY</we:customFunctionIds>
        <we:customFunctionIds>_xldudf_MXLS_HF_PRICE_TO_TANGIBLE_BOOK_RATIO</we:customFunctionIds>
        <we:customFunctionIds>_xldudf_MXLS_HF_WORKING_CAPITAL_AS_PERCENTAGE_OF_PRICE</we:customFunctionIds>
        <we:customFunctionIds>_xldudf_MXLS_HF_WORKING_CAPITAL_PER_SHARE</we:customFunctionIds>
        <we:customFunctionIds>_xldudf_MXLS_HF_CASH_FLOW_PER_SHARE</we:customFunctionIds>
        <we:customFunctionIds>_xldudf_MXLS_HF_PRICE_CASH_FLOW_RATIO</we:customFunctionIds>
        <we:customFunctionIds>_xldudf_MXLS_HF_PRICE_FREE_CASH_FLOW_RATIO</we:customFunctionIds>
        <we:customFunctionIds>_xldudf_MXLS_HF_SALES_PER_EMPLOYEE</we:customFunctionIds>
        <we:customFunctionIds>_xldudf_MXLS_HF_SALES_INDICATOR</we:customFunctionIds>
        <we:customFunctionIds>_xldudf_MXLS_HF_EARNINGS_INDICATOR</we:customFunctionIds>
        <we:customFunctionIds>_xldudf_MXLS_HF_EARNINGS_PER_SHARE_INDICATOR</we:customFunctionIds>
        <we:customFunctionIds>_xldudf_MXLS_HF_PRICE_INDICATOR</we:customFunctionIds>
        <we:customFunctionIds>_xldudf_MXLS_HF_PRICE_BOOK_INDICATOR</we:customFunctionIds>
        <we:customFunctionIds>_xldudf_MXLS_HF_PRICE_SALES_INDICATOR</we:customFunctionIds>
        <we:customFunctionIds>_xldudf_MXLS_HF_PRICE_CASH_INDICATOR</we:customFunctionIds>
        <we:customFunctionIds>_xldudf_MXLS_HF_PRICE_FREE_CASH_INDICATOR</we:customFunctionIds>
        <we:customFunctionIds>_xldudf_MXLS_HF_DEBT_EQUITY_INDICATOR</we:customFunctionIds>
        <we:customFunctionIds>_xldudf_MXLS_HF_CURRENCY_RATE_INDICATOR</we:customFunctionIds>
        <we:customFunctionIds>_xldudf_MXLS_HF_GROSS_PROFIT_INDICATOR</we:customFunctionIds>
        <we:customFunctionIds>_xldudf_MXLS_HF_PRE_TAX_PROFIT_INDICATOR</we:customFunctionIds>
        <we:customFunctionIds>_xldudf_MXLS_HF_POST_TAX_PROFIT_INDICATOR</we:customFunctionIds>
        <we:customFunctionIds>_xldudf_MXLS_HF_NET_PROFIT_INDICATOR</we:customFunctionIds>
        <we:customFunctionIds>_xldudf_MXLS_HF_RETURN_EQUITY_INDICATOR</we:customFunctionIds>
        <we:customFunctionIds>_xldudf_MXLS_HF_LEVEL_RATE_INDICATOR</we:customFunctionIds>
        <we:customFunctionIds>_xldudf_MXLS_HF_RESEARCH_AND_DEVELOPMENT_EXPENSE_AS_PERCENTAGE_OF_REVENUE</we:customFunctionIds>
        <we:customFunctionIds>_xldudf_MXLS_HF_REVENUE_USD</we:customFunctionIds>
        <we:customFunctionIds>_xldudf_MXLS_HF_REPORT_PERIOD</we:customFunctionIds>
        <we:customFunctionIds>_xldudf_MXLS_HF_SHARE_PRICE_ADJUSTED_CLOSE</we:customFunctionIds>
        <we:customFunctionIds>_xldudf_MXLS_HF_SHARES_BASIC</we:customFunctionIds>
        <we:customFunctionIds>_xldudf_MXLS_HF_ASSET_TURN_OVER_INDICATOR</we:customFunctionIds>
        <we:customFunctionIds>_xldudf_MXLS_LOG</we:customFunctionIds>
        <we:customFunctionIds>_xldudf_MXLS_SYMBOLVALID</we:customFunctionIds>
        <we:customFunctionIds>_xldudf_MXLS_CHANGEINPERCENT</we:customFunctionIds>
        <we:customFunctionIds>_xldudf_MXLS_BENEISHMSCORE</we:customFunctionIds>
        <we:customFunctionIds>_xldudf_MXLS_ALTMANZSCORE</we:customFunctionIds>
        <we:customFunctionIds>_xldudf_MXLS_PITRIOSKIFSCORE</we:customFunctionIds>
        <we:customFunctionIds>_xldudf_MXLS_RANKVALUE</we:customFunctionIds>
        <we:customFunctionIds>_xldudf_MXLS_RANKOVERALL</we:customFunctionIds>
        <we:customFunctionIds>_xldudf_MXLS_RANKTECHNICAL</we:customFunctionIds>
        <we:customFunctionIds>_xldudf_MXLS_RANKQUALITY</we:customFunctionIds>
        <we:customFunctionIds>_xldudf_MXLS_ASK</we:customFunctionIds>
        <we:customFunctionIds>_xldudf_MXLS_OPENPRICE</we:customFunctionIds>
        <we:customFunctionIds>_xldudf_MXLS_LAST</we:customFunctionIds>
        <we:customFunctionIds>_xldudf_MXLS_ONEYRTARGETPRICE</we:customFunctionIds>
        <we:customFunctionIds>_xldudf_MXLS_BID</we:customFunctionIds>
        <we:customFunctionIds>_xldudf_MXLS_CHANGE_PERCENTCHANGE</we:customFunctionIds>
        <we:customFunctionIds>_xldudf_MXLS_CHANGE</we:customFunctionIds>
        <we:customFunctionIds>_xldudf_MXLS_NAME</we:customFunctionIds>
        <we:customFunctionIds>_xldudf_MXLS_PREVIOUSCLOSE</we:customFunctionIds>
        <we:customFunctionIds>_xldudf_MXLS_VOLUME</we:customFunctionIds>
        <we:customFunctionIds>_xldudf_MXLS_DAYSHIGH</we:customFunctionIds>
        <we:customFunctionIds>_xldudf_MXLS_DAYSLOW</we:customFunctionIds>
        <we:customFunctionIds>_xldudf_MXLS_SECTOR</we:customFunctionIds>
        <we:customFunctionIds>_xldudf_MXLS_INDUSTRY</we:customFunctionIds>
        <we:customFunctionIds>_xldudf_MXLS_AVERAGEDAILYVOLUME</we:customFunctionIds>
        <we:customFunctionIds>_xldudf_MXLS_DIVIDENDPERSHARE</we:customFunctionIds>
        <we:customFunctionIds>_xldudf_MXLS_EARNINGSPERSHARE</we:customFunctionIds>
        <we:customFunctionIds>_xldudf_MXLS_EARNINGS_DATE</we:customFunctionIds>
        <we:customFunctionIds>_xldudf_MXLS_BETA</we:customFunctionIds>
        <we:customFunctionIds>_xldudf_MXLS_EBITDA</we:customFunctionIds>
        <we:customFunctionIds>_xldudf_MXLS_PRICEPERSALES</we:customFunctionIds>
        <we:customFunctionIds>_xldudf_MXLS_PRICEPERBOOK</we:customFunctionIds>
        <we:customFunctionIds>_xldudf_MXLS_CASHFLOWPERSHARE</we:customFunctionIds>
        <we:customFunctionIds>_xldudf_MXLS_PERATIO</we:customFunctionIds>
        <we:customFunctionIds>_xldudf_MXLS_PEGRATIO</we:customFunctionIds>
        <we:customFunctionIds>_xldudf_MXLS_SHARES_OUTSTANDING</we:customFunctionIds>
        <we:customFunctionIds>_xldudf_MXLS_CURRENT_RATIO</we:customFunctionIds>
        <we:customFunctionIds>_xldudf_MXLS_PREVIOUSEARNINGSREPORTDATE</we:customFunctionIds>
        <we:customFunctionIds>_xldudf_MXLS_PREVIOUSEARNINGSREPORTTIME</we:customFunctionIds>
        <we:customFunctionIds>_xldudf_MXLS_EBITDA_MARGINS</we:customFunctionIds>
        <we:customFunctionIds>_xldudf_MXLS_QUICK_RATIO</we:customFunctionIds>
        <we:customFunctionIds>_xldudf_MXLS_ENTERPRISEVALUE</we:customFunctionIds>
        <we:customFunctionIds>_xldudf_MXLS_RETURNONASSETSLTM</we:customFunctionIds>
        <we:customFunctionIds>_xldudf_MXLS_RETURNONINVESTEDCAPITALONEYEAR</we:customFunctionIds>
        <we:customFunctionIds>_xldudf_MXLS_SHAREPERCENTHELDBYINSTITUTIONS</we:customFunctionIds>
        <we:customFunctionIds>_xldudf_MXLS_PROFITMARGIN</we:customFunctionIds>
        <we:customFunctionIds>_xldudf_MXLS_PRICETOCASHFLOW</we:customFunctionIds>
        <we:customFunctionIds>_xldudf_MXLS_FORWARDANNUALDIVIDENDYIELD</we:customFunctionIds>
        <we:customFunctionIds>_xldudf_MXLS_RETURNONEQUITY</we:customFunctionIds>
        <we:customFunctionIds>_xldudf_MXLS_RETURNONCAPITALLTM</we:customFunctionIds>
        <we:customFunctionIds>_xldudf_MXLS_INTERESTCOVERAGE</we:customFunctionIds>
        <we:customFunctionIds>_xldudf_MXLS_GROSSMARGIN</we:customFunctionIds>
        <we:customFunctionIds>_xldudf_MXLS_BOOKVALUEPERSHARE</we:customFunctionIds>
        <we:customFunctionIds>_xldudf_MXLS_REVENUE</we:customFunctionIds>
        <we:customFunctionIds>_xldudf_MXLS_STOCKRETURNSEVENDAYS</we:customFunctionIds>
        <we:customFunctionIds>_xldudf_MXLS_STOCKRETURNTENDAYS</we:customFunctionIds>
        <we:customFunctionIds>_xldudf_MXLS_STOCKRETURNFIFTEENDAYS</we:customFunctionIds>
        <we:customFunctionIds>_xldudf_MXLS_STOCKRETURNTWENTYDAYS</we:customFunctionIds>
        <we:customFunctionIds>_xldudf_MXLS_STOCKRETURNTHIRTYDAYS</we:customFunctionIds>
        <we:customFunctionIds>_xldudf_MXLS_STOCKRETURNFORTYFIVEDAYS</we:customFunctionIds>
        <we:customFunctionIds>_xldudf_MXLS_STOCKRETURNSIXTYDAYS</we:customFunctionIds>
        <we:customFunctionIds>_xldudf_MXLS_STOCKRETURNTHREEMONTHS</we:customFunctionIds>
        <we:customFunctionIds>_xldudf_MXLS_STOCKRETURNSEVENTYFIVEDAYS</we:customFunctionIds>
        <we:customFunctionIds>_xldudf_MXLS_STOCKRETURNONETWENTYDAYS</we:customFunctionIds>
        <we:customFunctionIds>_xldudf_MXLS_STOCKRETURNSIXMONTHS</we:customFunctionIds>
        <we:customFunctionIds>_xldudf_MXLS_STOCKRETURNONEYEAR</we:customFunctionIds>
        <we:customFunctionIds>_xldudf_MXLS_STOCKRETURNTHREEYEARS</we:customFunctionIds>
        <we:customFunctionIds>_xldudf_MXLS_STOCKRETURNTWOYEARS</we:customFunctionIds>
        <we:customFunctionIds>_xldudf_MXLS_STOCKRETURNFIVEYEARS</we:customFunctionIds>
        <we:customFunctionIds>_xldudf_MXLS_STOCKRETURNYTD</we:customFunctionIds>
        <we:customFunctionIds>_xldudf_MXLS_STOCKRETURNMTD</we:customFunctionIds>
        <we:customFunctionIds>_xldudf_MXLS_STOCKRETURNQTD</we:customFunctionIds>
        <we:customFunctionIds>_xldudf_MXLS_STOCKRETURNWTD</we:customFunctionIds>
        <we:customFunctionIds>_xldudf_MXLS_STOCKRETURNCUSTOMDATES</we:customFunctionIds>
        <we:customFunctionIds>_xldudf_MXLS_VOLUMEAVERAGESEVENDAYS</we:customFunctionIds>
        <we:customFunctionIds>_xldudf_MXLS_VOLUMEAVERAGEFIFTEENDAYS</we:customFunctionIds>
        <we:customFunctionIds>_xldudf_MXLS_VOLUMEAVERAGETHIRTYDAYS</we:customFunctionIds>
        <we:customFunctionIds>_xldudf_MXLS_VOLUMEAVERAGETHREEMONTHS</we:customFunctionIds>
        <we:customFunctionIds>_xldudf_MXLS_VOLUMEAVERAGESIXMONTHS</we:customFunctionIds>
        <we:customFunctionIds>_xldudf_MXLS_VOLUMEAVERAGEONEYEAR</we:customFunctionIds>
        <we:customFunctionIds>_xldudf_MXLS_VOLUMEAVERAGETHREEYEARS</we:customFunctionIds>
        <we:customFunctionIds>_xldudf_MXLS_FIFTYTWO_WEEKLOW</we:customFunctionIds>
        <we:customFunctionIds>_xldudf_MXLS_FIFTYTWO_WEEKHIGH</we:customFunctionIds>
        <we:customFunctionIds>_xldudf_MXLS_EX_DIVIDENDDATE</we:customFunctionIds>
        <we:customFunctionIds>_xldudf_MXLS_DIVIDENDPAYDATE</we:customFunctionIds>
        <we:customFunctionIds>_xldudf_MXLS_DIVIDENDYIELD</we:customFunctionIds>
        <we:customFunctionIds>_xldudf_MXLS_FORWARDANNUALDIVIDENDRATE</we:customFunctionIds>
        <we:customFunctionIds>_xldudf_MXLS_DIVIDENDPAYOUTRATIO</we:customFunctionIds>
        <we:customFunctionIds>_xldudf_MXLS_ISOPTIONABLE</we:customFunctionIds>
        <we:customFunctionIds>_xldudf_MXLS_TREASURYRATE3M</we:customFunctionIds>
        <we:customFunctionIds>_xldudf_MXLS_EPSESTIMATECURRENTYEAR</we:customFunctionIds>
        <we:customFunctionIds>_xldudf_MXLS_EPSESTIMATENEXTYEAR</we:customFunctionIds>
        <we:customFunctionIds>_xldudf_MXLS_EPSESTIMATENEXTQUARTER</we:customFunctionIds>
        <we:customFunctionIds>_xldudf_MXLS_EPSESTIMATECURRENTQUARTER</we:customFunctionIds>
        <we:customFunctionIds>_xldudf_MXLS_STANDARDDEVIATIONONCLOSEPRICE</we:customFunctionIds>
        <we:customFunctionIds>_xldudf_MXLS_CHANGEPERCENTWTD</we:customFunctionIds>
        <we:customFunctionIds>_xldudf_MXLS_CHANGEPERCENTMTD</we:customFunctionIds>
        <we:customFunctionIds>_xldudf_MXLS_CHANGEPERCENTYTD</we:customFunctionIds>
        <we:customFunctionIds>_xldudf_MXLS_CHANGEPERCENTQTD</we:customFunctionIds>
        <we:customFunctionIds>_xldudf_MXLS_EXCELSERIALDATETODATE</we:customFunctionIds>
        <we:customFunctionIds>_xldudf_MXLS_TECHNICALINDICATOR</we:customFunctionIds>
        <we:customFunctionIds>_xldudf_MXLS_STOCKVOLATILITYSEVENDAYS</we:customFunctionIds>
        <we:customFunctionIds>_xldudf_MXLS_STOCKVOLATILITYFIFTEENDAYS</we:customFunctionIds>
        <we:customFunctionIds>_xldudf_MXLS_STOCKVOLATILITYTHIRTYDAYS</we:customFunctionIds>
        <we:customFunctionIds>_xldudf_MXLS_STOCKVOLATILITYTHREEMONTHS</we:customFunctionIds>
        <we:customFunctionIds>_xldudf_MXLS_STOCKVOLATILITYSIXMONTHS</we:customFunctionIds>
        <we:customFunctionIds>_xldudf_MXLS_STOCKVOLATILITYNINEMONTHS</we:customFunctionIds>
        <we:customFunctionIds>_xldudf_MXLS_STOCKVOLATILITYONEYEAR</we:customFunctionIds>
        <we:customFunctionIds>_xldudf_MXLS_STOCKVOLATILITYTWOYEARS</we:customFunctionIds>
        <we:customFunctionIds>_xldudf_MXLS_STOCKVOLATILITYTHREEYEARS</we:customFunctionIds>
        <we:customFunctionIds>_xldudf_MXLS_STOCKVOLATILITYFIVEYEARS</we:customFunctionIds>
        <we:customFunctionIds>_xldudf_MXLS_OPEN_HISTORICAL</we:customFunctionIds>
        <we:customFunctionIds>_xldudf_MXLS_HIGH_HISTORICAL</we:customFunctionIds>
        <we:customFunctionIds>_xldudf_MXLS_LOW_HISTORICAL</we:customFunctionIds>
        <we:customFunctionIds>_xldudf_MXLS_CLOSE_HISTORICAL</we:customFunctionIds>
        <we:customFunctionIds>_xldudf_MXLS_ADJUSTED_CLOSE_HISTORICAL</we:customFunctionIds>
        <we:customFunctionIds>_xldudf_MXLS_VOLUME_HISTORICAL</we:customFunctionIds>
        <we:customFunctionIds>_xldudf_MXLS_BID_HISTORICAL</we:customFunctionIds>
        <we:customFunctionIds>_xldudf_MXLS_ASK_HISTORICAL</we:customFunctionIds>
        <we:customFunctionIds>_xldudf_MXLS_BID_SIZE_HISTORICAL</we:customFunctionIds>
        <we:customFunctionIds>_xldudf_MXLS_ASK_SIZE_HISTORICAL</we:customFunctionIds>
        <we:customFunctionIds>_xldudf_MXLS_X_DAY_HIGH</we:customFunctionIds>
        <we:customFunctionIds>_xldudf_MXLS_X_DAY_LOW</we:customFunctionIds>
        <we:customFunctionIds>_xldudf_MXLS_X_WEEK_HIGH</we:customFunctionIds>
        <we:customFunctionIds>_xldudf_MXLS_X_WEEK_LOW</we:customFunctionIds>
        <we:customFunctionIds>_xldudf_MXLS_VOLUMEAVERAGECUSTOMDATES</we:customFunctionIds>
        <we:customFunctionIds>_xldudf_MXLS_CUSTOM_DATES_HIGH</we:customFunctionIds>
        <we:customFunctionIds>_xldudf_MXLS_CUSTOM_DATES_LOW</we:customFunctionIds>
        <we:customFunctionIds>_xldudf_MXLS_RELATIVESTRENGTHINDEX</we:customFunctionIds>
        <we:customFunctionIds>_xldudf_MXLS_SIMPLEMOVINGAVERAGE</we:customFunctionIds>
        <we:customFunctionIds>_xldudf_MXLS_EXPONENTIALMOVINGAVERAGE</we:customFunctionIds>
        <we:customFunctionIds>_xldudf_MXLS_AVERAGETRUERANGE</we:customFunctionIds>
        <we:customFunctionIds>_xldudf_MXLS_MOMENTUM</we:customFunctionIds>
        <we:customFunctionIds>_xldudf_MXLS_OPTIONSYMBOL</we:customFunctionIds>
        <we:customFunctionIds>_xldudf_MXLS_DELTA</we:customFunctionIds>
        <we:customFunctionIds>_xldudf_MXLS_THETA</we:customFunctionIds>
        <we:customFunctionIds>_xldudf_MXLS_GAMMA</we:customFunctionIds>
        <we:customFunctionIds>_xldudf_MXLS_VEGA</we:customFunctionIds>
        <we:customFunctionIds>_xldudf_MXLS_EXPIRATIONNEXT</we:customFunctionIds>
        <we:customFunctionIds>_xldudf_MXLS_STRIKENEXT</we:customFunctionIds>
        <we:customFunctionIds>_xldudf_MXLS_IVRANK1YEAR</we:customFunctionIds>
        <we:customFunctionIds>_xldudf_MXLS_MARKETCAPITALIZATION</we:customFunctionIds>
        <we:customFunctionIds>_xldudf_MXLS_DIVIDENDBETWEENTWODATES</we:customFunctionIds>
        <we:customFunctionIds>_xldudf_MXLS_MXLS_DB_QUERY</we:customFunctionIds>
        <we:customFunctionIds>_xldudf_MXLS_OPT_VOLUMEOPTIONSAVERAGE</we:customFunctionIds>
        <we:customFunctionIds>_xldudf_MXLS_OPT_TOTALVOLUMEOPTIONS</we:customFunctionIds>
        <we:customFunctionIds>_xldudf_MXLS_OPT_TOTALOPENINTERESTOPTIONS</we:customFunctionIds>
        <we:customFunctionIds>_xldudf_MXLS_OPT_VOL_OI</we:customFunctionIds>
        <we:customFunctionIds>_xldudf_MXLS_OPT_VOL_OI_AVG</we:customFunctionIds>
        <we:customFunctionIds>_xldudf_MXLS_OPT_VOL_OI_HISTORICAL</we:customFunctionIds>
        <we:customFunctionIds>_xldudf_MXLS_OPT_PUTCALLVOLRATIO</we:customFunctionIds>
        <we:customFunctionIds>_xldudf_MXLS_OPT_PUTCALLVOLRATIOHISTORICAL</we:customFunctionIds>
        <we:customFunctionIds>_xldudf_MXLS_OPT_PUTCALLOIRATIO</we:customFunctionIds>
        <we:customFunctionIds>_xldudf_MXLS_OPT_PUTCALLOIRATIOHISTORICAL</we:customFunctionIds>
        <we:customFunctionIds>_xldudf_MXLS_OPT_DELTAHISTORICAL</we:customFunctionIds>
        <we:customFunctionIds>_xldudf_MXLS_OPT_GAMMAHISTORICAL</we:customFunctionIds>
        <we:customFunctionIds>_xldudf_MXLS_OPT_RHOHISTORICAL</we:customFunctionIds>
        <we:customFunctionIds>_xldudf_MXLS_OPT_IMPLIEDVOLATILITYHISTORICAL</we:customFunctionIds>
        <we:customFunctionIds>_xldudf_MXLS_OPT_THETAHISTORICAL</we:customFunctionIds>
        <we:customFunctionIds>_xldudf_MXLS_OPT_VEGAHISTORICAL</we:customFunctionIds>
        <we:customFunctionIds>_xldudf_MXLS_OPT_DELTA</we:customFunctionIds>
        <we:customFunctionIds>_xldudf_MXLS_OPT_GAMMA</we:customFunctionIds>
        <we:customFunctionIds>_xldudf_MXLS_OPT_VEGA</we:customFunctionIds>
        <we:customFunctionIds>_xldudf_MXLS_OPT_THETA</we:customFunctionIds>
        <we:customFunctionIds>_xldudf_MXLS_OPT_RHO</we:customFunctionIds>
        <we:customFunctionIds>_xldudf_MXLS_OPT_IMPLIEDVOLATILITY</we:customFunctionIds>
        <we:customFunctionIds>_xldudf_MXLS_BLACKSCHOLESOPTIONVALUE</we:customFunctionIds>
        <we:customFunctionIds>_xldudf_MXLS_BLACKSCHOLESOPTIONVALUEWITHUSERINPUTS</we:customFunctionIds>
        <we:customFunctionIds>_xldudf_MXLS_STOCKCHART</we:customFunctionIds>
        <we:customFunctionIds>_xldudf_MXLS_STREAM_ACCUMULATEDPRICE</we:customFunctionIds>
        <we:customFunctionIds>_xldudf_MXLS_STREAM_ACCUMULATEDTRADEVALUE</we:customFunctionIds>
        <we:customFunctionIds>_xldudf_MXLS_STREAM_ACCUMULATEDVOLUME</we:customFunctionIds>
        <we:customFunctionIds>_xldudf_MXLS_STREAM_CHANGE</we:customFunctionIds>
        <we:customFunctionIds>_xldudf_MXLS_STREAM_CLOSE</we:customFunctionIds>
        <we:customFunctionIds>_xldudf_MXLS_STREAM_HIGH</we:customFunctionIds>
        <we:customFunctionIds>_xldudf_MXLS_STREAM_LAST</we:customFunctionIds>
        <we:customFunctionIds>_xldudf_MXLS_STREAM_LASTTRADESIZE</we:customFunctionIds>
        <we:customFunctionIds>_xldudf_MXLS_STREAM_LASTTRADETIME</we:customFunctionIds>
        <we:customFunctionIds>_xldudf_MXLS_STREAM_LOW</we:customFunctionIds>
        <we:customFunctionIds>_xldudf_MXLS_STREAM_OPEN</we:customFunctionIds>
        <we:customFunctionIds>_xldudf_MXLS_STREAM_PERCENTAGECHANGE</we:customFunctionIds>
        <we:customFunctionIds>_xldudf_MXLS_STREAM_PREVIOUSCLOSE</we:customFunctionIds>
        <we:customFunctionIds>_xldudf_MXLS_STREAM_TRADECOUNT</we:customFunctionIds>
        <we:customFunctionIds>_xldudf_MXLS_STREAM_TWAP</we:customFunctionIds>
        <we:customFunctionIds>_xldudf_MXLS_STREAM_VWAP</we:customFunctionIds>
        <we:customFunctionIds>_xldudf_MXLS_STREAM_PREMARKETTRADETIME</we:customFunctionIds>
        <we:customFunctionIds>_xldudf_MXLS_STREAM_PREMARKETLAST</we:customFunctionIds>
        <we:customFunctionIds>_xldudf_MXLS_STREAM_PREMARKETVOLUME</we:customFunctionIds>
        <we:customFunctionIds>_xldudf_MXLS_STREAM_PREMARKETCHANGE</we:customFunctionIds>
        <we:customFunctionIds>_xldudf_MXLS_STREAM_PREMARKETPERCENTCHANGE</we:customFunctionIds>
        <we:customFunctionIds>_xldudf_MXLS_STREAM_POSTMARKETLASTTRADETIME</we:customFunctionIds>
        <we:customFunctionIds>_xldudf_MXLS_STREAM_POSTMARKETLAST</we:customFunctionIds>
        <we:customFunctionIds>_xldudf_MXLS_STREAM_POSTMARKETVOLUME</we:customFunctionIds>
        <we:customFunctionIds>_xldudf_MXLS_STREAM_POSTMARKETCHANGE</we:customFunctionIds>
        <we:customFunctionIds>_xldudf_MXLS_STREAM_POSTMARKETPERCENTCHANGE</we:customFunctionIds>
        <we:customFunctionIds>_xldudf_MXLS_STREAM_LASTTRADEEXCODE</we:customFunctionIds>
        <we:customFunctionIds>_xldudf_MXLS_STREAM_ASKPRICE</we:customFunctionIds>
        <we:customFunctionIds>_xldudf_MXLS_STREAM_ASKSIZE</we:customFunctionIds>
        <we:customFunctionIds>_xldudf_MXLS_STREAM_BIDPRICE</we:customFunctionIds>
        <we:customFunctionIds>_xldudf_MXLS_STREAM_BIDSIZE</we:customFunctionIds>
        <we:customFunctionIds>_xldudf_MXLS_STREAM_EXCODE</we:customFunctionIds>
        <we:customFunctionIds>_xldudf_MXLS_STREAM_INSTRUMENTTYPE</we:customFunctionIds>
        <we:customFunctionIds>_xldudf_MXLS_STREAM_CURRENCYID</we:customFunctionIds>
        <we:customFunctionIds>_xldudf_MXLS_STREAM_TRADEVALUE</we:customFunctionIds>
        <we:customFunctionIds>_xldudf_MXLS_STREAM_VOLUME</we:customFunctionIds>
        <we:customFunctionIds>_xldudf_MXLS_STREAM_DELTA</we:customFunctionIds>
        <we:customFunctionIds>_xldudf_MXLS_STREAM_GAMMA</we:customFunctionIds>
        <we:customFunctionIds>_xldudf_MXLS_STREAM_VEGA</we:customFunctionIds>
        <we:customFunctionIds>_xldudf_MXLS_STREAM_RHO</we:customFunctionIds>
        <we:customFunctionIds>_xldudf_MXLS_STREAM_THETA</we:customFunctionIds>
        <we:customFunctionIds>_xldudf_MXLS_STREAM_IMPLIEDVOLATILITY</we:customFunctionIds>
        <we:customFunctionIds>_xldudf_MXLS_STREAM_IMPLIEDVOLATILITYCHANGE</we:customFunctionIds>
        <we:customFunctionIds>_xldudf_MXLS_STREAM_BIDIMPLIEDVOLATILITY</we:customFunctionIds>
        <we:customFunctionIds>_xldudf_MXLS_STREAM_ASKIMPLIEDVOLATILITY</we:customFunctionIds>
        <we:customFunctionIds>_xldudf_MXLS_STREAM_MARK</we:customFunctionIds>
        <we:customFunctionIds>_xldudf_MXLS_STREAM_INTRINSICVALUE</we:customFunctionIds>
        <we:customFunctionIds>_xldudf_MXLS_STREAM_EXTRINSICVALUE</we:customFunctionIds>
        <we:customFunctionIds>_xldudf_MXLS_STREAM_PREVIOUSMARK</we:customFunctionIds>
        <we:customFunctionIds>_xldudf_MXLS_STREAM_MARKCHANGE</we:customFunctionIds>
        <we:customFunctionIds>_xldudf_MXLS_STREAM_MARKCHANGEPERCENT</we:customFunctionIds>
        <we:customFunctionIds>_xldudf_MXLS_STREAM_OPENINTEREST</we:customFunctionIds>
        <we:customFunctionIds>_xldudf_MXLS_QM_STREAM_ACCUMULATEDPRICE</we:customFunctionIds>
        <we:customFunctionIds>_xldudf_MXLS_QM_STREAM_ACCUMULATEDTRADEVALUE</we:customFunctionIds>
        <we:customFunctionIds>_xldudf_MXLS_QM_STREAM_ACCUMULATEDVOLUME</we:customFunctionIds>
        <we:customFunctionIds>_xldudf_MXLS_QM_STREAM_CHANGE</we:customFunctionIds>
        <we:customFunctionIds>_xldudf_MXLS_QM_STREAM_CLOSE</we:customFunctionIds>
        <we:customFunctionIds>_xldudf_MXLS_QM_STREAM_HIGH</we:customFunctionIds>
        <we:customFunctionIds>_xldudf_MXLS_QM_STREAM_LAST</we:customFunctionIds>
        <we:customFunctionIds>_xldudf_MXLS_QM_STREAM_LASTTRADESIZE</we:customFunctionIds>
        <we:customFunctionIds>_xldudf_MXLS_QM_STREAM_LASTTRADETIME</we:customFunctionIds>
        <we:customFunctionIds>_xldudf_MXLS_QM_STREAM_LOW</we:customFunctionIds>
        <we:customFunctionIds>_xldudf_MXLS_QM_STREAM_OPEN</we:customFunctionIds>
        <we:customFunctionIds>_xldudf_MXLS_QM_STREAM_PERCENTAGECHANGE</we:customFunctionIds>
        <we:customFunctionIds>_xldudf_MXLS_QM_STREAM_PREVIOUSCLOSE</we:customFunctionIds>
        <we:customFunctionIds>_xldudf_MXLS_QM_STREAM_TRADECOUNT</we:customFunctionIds>
        <we:customFunctionIds>_xldudf_MXLS_QM_STREAM_TWAP</we:customFunctionIds>
        <we:customFunctionIds>_xldudf_MXLS_QM_STREAM_VWAP</we:customFunctionIds>
        <we:customFunctionIds>_xldudf_MXLS_QM_STREAM_PREMARKETTRADETIME</we:customFunctionIds>
        <we:customFunctionIds>_xldudf_MXLS_QM_STREAM_PREMARKETLAST</we:customFunctionIds>
        <we:customFunctionIds>_xldudf_MXLS_QM_STREAM_PREMARKETVOLUME</we:customFunctionIds>
        <we:customFunctionIds>_xldudf_MXLS_QM_STREAM_PREMARKETCHANGE</we:customFunctionIds>
        <we:customFunctionIds>_xldudf_MXLS_QM_STREAM_PREMARKETPERCENTCHANGE</we:customFunctionIds>
        <we:customFunctionIds>_xldudf_MXLS_QM_STREAM_POSTMARKETLASTTRADETIME</we:customFunctionIds>
        <we:customFunctionIds>_xldudf_MXLS_QM_STREAM_POSTMARKETLAST</we:customFunctionIds>
        <we:customFunctionIds>_xldudf_MXLS_QM_STREAM_POSTMARKETVOLUME</we:customFunctionIds>
        <we:customFunctionIds>_xldudf_MXLS_QM_STREAM_POSTMARKETCHANGE</we:customFunctionIds>
        <we:customFunctionIds>_xldudf_MXLS_QM_STREAM_POSTMARKETPERCENTCHANGE</we:customFunctionIds>
        <we:customFunctionIds>_xldudf_MXLS_QM_STREAM_LASTTRADEEXCODE</we:customFunctionIds>
        <we:customFunctionIds>_xldudf_MXLS_QM_STREAM_ASK</we:customFunctionIds>
        <we:customFunctionIds>_xldudf_MXLS_QM_STREAM_ASKSIZE</we:customFunctionIds>
        <we:customFunctionIds>_xldudf_MXLS_QM_STREAM_BID</we:customFunctionIds>
        <we:customFunctionIds>_xldudf_MXLS_QM_STREAM_BIDSIZE</we:customFunctionIds>
        <we:customFunctionIds>_xldudf_MXLS_QM_STREAM_EXCODE</we:customFunctionIds>
        <we:customFunctionIds>_xldudf_MXLS_QM_STREAM_INSTRUMENTTYPE</we:customFunctionIds>
        <we:customFunctionIds>_xldudf_MXLS_QM_STREAM_CURRENCYID</we:customFunctionIds>
        <we:customFunctionIds>_xldudf_MXLS_QM_STREAM_TRADEVALUE</we:customFunctionIds>
        <we:customFunctionIds>_xldudf_MXLS_QM_STREAM_VOLUME</we:customFunctionIds>
        <we:customFunctionIds>_xldudf_MXLS_QM_STREAM_DELTA</we:customFunctionIds>
        <we:customFunctionIds>_xldudf_MXLS_QM_STREAM_GAMMA</we:customFunctionIds>
        <we:customFunctionIds>_xldudf_MXLS_QM_STREAM_VEGA</we:customFunctionIds>
        <we:customFunctionIds>_xldudf_MXLS_QM_STREAM_RHO</we:customFunctionIds>
        <we:customFunctionIds>_xldudf_MXLS_QM_STREAM_THETA</we:customFunctionIds>
        <we:customFunctionIds>_xldudf_MXLS_QM_STREAM_IMPLIEDVOLATILITY</we:customFunctionIds>
        <we:customFunctionIds>_xldudf_MXLS_QM_STREAM_IMPLIEDVOLATILITYCHANGE</we:customFunctionIds>
        <we:customFunctionIds>_xldudf_MXLS_QM_STREAM_BIDIMPLIEDVOLATILITY</we:customFunctionIds>
        <we:customFunctionIds>_xldudf_MXLS_QM_STREAM_ASKIMPLIEDVOLATILITY</we:customFunctionIds>
        <we:customFunctionIds>_xldudf_MXLS_QM_STREAM_MARK</we:customFunctionIds>
        <we:customFunctionIds>_xldudf_MXLS_QM_STREAM_INTRINSICVALUE</we:customFunctionIds>
        <we:customFunctionIds>_xldudf_MXLS_QM_STREAM_EXTRINSICVALUE</we:customFunctionIds>
        <we:customFunctionIds>_xldudf_MXLS_QM_STREAM_PREVIOUSMARK</we:customFunctionIds>
        <we:customFunctionIds>_xldudf_MXLS_QM_STREAM_MARKCHANGE</we:customFunctionIds>
        <we:customFunctionIds>_xldudf_MXLS_QM_STREAM_MARKCHANGEPERCENT</we:customFunctionIds>
        <we:customFunctionIds>_xldudf_MXLS_QM_STREAM_OPENINTEREST</we:customFunctionIds>
        <we:customFunctionIds>_xldudf_MXLS_OPT_UNUSUALOPTIONVOLSCANEOD</we:customFunctionIds>
        <we:customFunctionIds>_xldudf_MXLS_OPT_UNUSUALOPTIONOISCANEOD</we:customFunctionIds>
        <we:customFunctionIds>_xldudf_MXLS_OPT_UNUSUALOPTIONVOLOISCANEOD</we:customFunctionIds>
        <we:customFunctionIds>_xldudf_MXLS_OPT_UNUSUALSTOCKOPTIONSACTIVITY</we:customFunctionIds>
        <we:customFunctionIds>_xldudf_MXLS_OPT_OPTIONSCHANGEINOILEADERS</we:customFunctionIds>
        <we:customFunctionIds>_xldudf_MXLS_OPT_OPTIONSCHANGEINVOLUMELEADERS</we:customFunctionIds>
        <we:customFunctionIds>_xldudf_MXLS_OPT_OPTIONSVOLUMELEADERS</we:customFunctionIds>
        <we:customFunctionIds>_xldudf_MXLS_OPT_OPTIONSOILEADERS</we:customFunctionIds>
        <we:customFunctionIds>_xldudf_MXLS_PORTFOLIOEFFICIENTFRONTIERCHART</we:customFunctionIds>
        <we:customFunctionIds>_xldudf_MXLS_SORTINORATIO</we:customFunctionIds>
        <we:customFunctionIds>_xldudf_MXLS_SHARPERATIO</we:customFunctionIds>
        <we:customFunctionIds>_xldudf_MXLS_MEANRETURNS</we:customFunctionIds>
        <we:customFunctionIds>_xldudf_MXLS_VALUEATRISK</we:customFunctionIds>
        <we:customFunctionIds>_xldudf_MXLS_PORTFOLIOBETA</we:customFunctionIds>
        <we:customFunctionIds>_xldudf_MXLS_POSITIVEPERIODS</we:customFunctionIds>
        <we:customFunctionIds>_xldudf_MXLS_MAXIMUMDRAWDOWNS</we:customFunctionIds>
        <we:customFunctionIds>_xldudf_MXLS_CAGR</we:customFunctionIds>
        <we:customFunctionIds>_xldudf_MXLS_WEALTHINDEX</we:customFunctionIds>
        <we:customFunctionIds>_xldudf_MXLS_PORTFOLIOEFFICIENTFRONTIERDATA</we:customFunctionIds>
        <we:customFunctionIds>_xldudf_MXLS_DRAWDOWNS</we:customFunctionIds>
        <we:customFunctionIds>_xldudf_MXLS_MONTHLYRETURNS</we:customFunctionIds>
        <we:customFunctionIds>_xldudf_MXLS_AIPORTFOLIOOPTIMIZE</we:customFunctionIds>
        <we:customFunctionIds>_xldudf_MXLS_AIPORTFOLIOPREDICTRETURNS</we:customFunctionIds>
        <we:customFunctionIds>_xldudf_MXLS_TREYNORRATIO</we:customFunctionIds>
        <we:customFunctionIds>_xldudf_MXLS_SKEWNESS</we:customFunctionIds>
        <we:customFunctionIds>_xldudf_MXLS_KURTOSIS</we:customFunctionIds>
        <we:customFunctionIds>_xldudf_MXLS_CLEARCACHE</we:customFunctionIds>
        <we:customFunctionIds>_xldudf_MXLS_GETCACHESTATS</we:customFunctionIds>
        <we:customFunctionIds>_xldudf_MXLS_TESTCACHE</we:customFunctionIds>
        <we:customFunctionIds>_xldudf_MXLS_IMPLIEDVOLATILITY</we:customFunctionIds>
        <we:customFunctionIds>_xldudf_MXLS_IMPLIEDVOLATILITYRANK1M</we:customFunctionIds>
        <we:customFunctionIds>_xldudf_MXLS_IMPLIEDVOLATILITYPCT1M</we:customFunctionIds>
        <we:customFunctionIds>_xldudf_MXLS_IMPLIEDVOLATILITYRANK1Y</we:customFunctionIds>
        <we:customFunctionIds>_xldudf_MXLS_IMPLIEDVOLATILITYPCT1Y</we:customFunctionIds>
        <we:customFunctionIds>_xldudf_MXLS_IMPLIEDVOLATILITY10D</we:customFunctionIds>
        <we:customFunctionIds>_xldudf_MXLS_IMPLIEDVOLATILITY20D</we:customFunctionIds>
        <we:customFunctionIds>_xldudf_MXLS_IMPLIEDVOLATILITY30D</we:customFunctionIds>
        <we:customFunctionIds>_xldudf_MXLS_IMPLIEDVOLATILITY60D</we:customFunctionIds>
        <we:customFunctionIds>_xldudf_MXLS_IMPLIEDVOLATILITY90D</we:customFunctionIds>
        <we:customFunctionIds>_xldudf_MXLS_IMPLIEDVOLATILITY6M</we:customFunctionIds>
        <we:customFunctionIds>_xldudf_MXLS_IMPLIEDVOLATILITY1Y</we:customFunctionIds>
        <we:customFunctionIds>_xldudf_MXLS_EXEARNINGSIMPLIEDVOLATILITY10D</we:customFunctionIds>
        <we:customFunctionIds>_xldudf_MXLS_EXEARNINGSIMPLIEDVOLATILITY20D</we:customFunctionIds>
        <we:customFunctionIds>_xldudf_MXLS_EXEARNINGSIMPLIEDVOLATILITY30D</we:customFunctionIds>
        <we:customFunctionIds>_xldudf_MXLS_EXEARNINGSIMPLIEDVOLATILITY60D</we:customFunctionIds>
        <we:customFunctionIds>_xldudf_MXLS_EXEARNINGSIMPLIEDVOLATILITY90D</we:customFunctionIds>
        <we:customFunctionIds>_xldudf_MXLS_EXEARNINGSIMPLIEDVOLATILITY6M</we:customFunctionIds>
        <we:customFunctionIds>_xldudf_MXLS_EXEARNINGSIMPLIEDVOLATILITY1Y</we:customFunctionIds>
        <we:customFunctionIds>_xldudf_MXLS_LASTUPDATEDIVORATS</we:customFunctionIds>
        <we:customFunctionIds>_xldudf_MXLS_LASTUPDATEDIVMXLS</we:customFunctionIds>
        <we:customFunctionIds>_xldudf_MXLS_LASTUPDATEDIVRPORATS</we:customFunctionIds>
        <we:customFunctionIds>_xldudf_MXLS_LASTUPDATEDIVRPMXLS</we:customFunctionIds>
        <we:customFunctionIds>_xldudf_MXLS_EARNINGSESTIMATES_NUMBEROFESTIMATES_NUMESTIMATESINCONSENSUS</we:customFunctionIds>
        <we:customFunctionIds>_xldudf_MXLS_EARNINGSESTIMATES_TARGETPRICEHISTORY_LOWTARGETPRICEESTIMATE_CURRENTTARGET</we:customFunctionIds>
        <we:customFunctionIds>_xldudf_MXLS_EARNINGSESTIMATES_TARGETPRICEHISTORY_LOWTARGETPRICEESTIMATE_WEEKS2AGO</we:customFunctionIds>
        <we:customFunctionIds>_xldudf_MXLS_EARNINGSESTIMATES_TARGETPRICEHISTORY_LOWTARGETPRICEESTIMATE_WEEKS1AGO</we:customFunctionIds>
        <we:customFunctionIds>_xldudf_MXLS_EARNINGSESTIMATES_TARGETPRICEHISTORY_LOWTARGETPRICEESTIMATE_WEEKS3AGO</we:customFunctionIds>
        <we:customFunctionIds>_xldudf_MXLS_EARNINGSESTIMATES_TARGETPRICEHISTORY_HIGHTARGETPRICEESTIMATE_CURRENTTARGET</we:customFunctionIds>
        <we:customFunctionIds>_xldudf_MXLS_EARNINGSESTIMATES_TARGETPRICEHISTORY_HIGHTARGETPRICEESTIMATE_WEEKS2AGO</we:customFunctionIds>
        <we:customFunctionIds>_xldudf_MXLS_EARNINGSESTIMATES_TARGETPRICEHISTORY_HIGHTARGETPRICEESTIMATE_WEEKS1AGO</we:customFunctionIds>
        <we:customFunctionIds>_xldudf_MXLS_EARNINGSESTIMATES_TARGETPRICEHISTORY_HIGHTARGETPRICEESTIMATE_WEEKS3AGO</we:customFunctionIds>
        <we:customFunctionIds>_xldudf_MXLS_EARNINGSESTIMATES_TARGETPRICEHISTORY_MEANTARGETPRICEESTIMATE_CURRENTTARGET</we:customFunctionIds>
        <we:customFunctionIds>_xldudf_MXLS_EARNINGSESTIMATES_TARGETPRICEHISTORY_MEANTARGETPRICEESTIMATE_WEEKS2AGO</we:customFunctionIds>
        <we:customFunctionIds>_xldudf_MXLS_EARNINGSESTIMATES_TARGETPRICEHISTORY_MEANTARGETPRICEESTIMATE_WEEKS1AGO</we:customFunctionIds>
        <we:customFunctionIds>_xldudf_MXLS_EARNINGSESTIMATES_TARGETPRICEHISTORY_MEANTARGETPRICEESTIMATE_WEEKS3AGO</we:customFunctionIds>
        <we:customFunctionIds>_xldudf_MXLS_EARNINGSESTIMATES_TARGETPRICEHISTORY_DATEMOSTRECENTESTIMATE_CURRENTTARGET</we:customFunctionIds>
        <we:customFunctionIds>_xldudf_MXLS_EARNINGSESTIMATES_TARGETPRICEHISTORY_DATEMOSTRECENTESTIMATE_WEEKS2AGO</we:customFunctionIds>
        <we:customFunctionIds>_xldudf_MXLS_EARNINGSESTIMATES_TARGETPRICEHISTORY_DATEMOSTRECENTESTIMATE_WEEKS1AGO</we:customFunctionIds>
        <we:customFunctionIds>_xldudf_MXLS_EARNINGSESTIMATES_TARGETPRICEHISTORY_DATEMOSTRECENTESTIMATE_WEEKS3AGO</we:customFunctionIds>
        <we:customFunctionIds>_xldudf_MXLS_EARNINGSESTIMATES_TARGETPRICEHISTORY_STANDARDDEVIATION_CURRENTTARGET</we:customFunctionIds>
        <we:customFunctionIds>_xldudf_MXLS_EARNINGSESTIMATES_TARGETPRICEHISTORY_STANDARDDEVIATION_WEEKS2AGO</we:customFunctionIds>
        <we:customFunctionIds>_xldudf_MXLS_EARNINGSESTIMATES_TARGETPRICEHISTORY_STANDARDDEVIATION_WEEKS1AGO</we:customFunctionIds>
        <we:customFunctionIds>_xldudf_MXLS_EARNINGSESTIMATES_TARGETPRICEHISTORY_STANDARDDEVIATION_WEEKS3AGO</we:customFunctionIds>
        <we:customFunctionIds>_xldudf_MXLS_EARNINGSESTIMATES_CONSENSUSEPSGROWTHRATE_NEXT5YEAR</we:customFunctionIds>
        <we:customFunctionIds>_xldudf_MXLS_EARNINGSESTIMATES_NUMBEROFESTIMATESHISTORY_CURRENTTARGET</we:customFunctionIds>
        <we:customFunctionIds>_xldudf_MXLS_EARNINGSESTIMATES_NUMBEROFESTIMATESHISTORY_WEEKS2AGO</we:customFunctionIds>
        <we:customFunctionIds>_xldudf_MXLS_EARNINGSESTIMATES_NUMBEROFESTIMATESHISTORY_WEEKS1AGO</we:customFunctionIds>
        <we:customFunctionIds>_xldudf_MXLS_EARNINGSESTIMATES_NUMBEROFESTIMATESHISTORY_WEEKS3AGO</we:customFunctionIds>
        <we:customFunctionIds>_xldudf_MXLS_EARNINGSESTIMATES_CONSENSUSEPSESTIMATESTRENDS_DAYS7AGO_QR2_MONTHYEAR</we:customFunctionIds>
        <we:customFunctionIds>_xldudf_MXLS_EARNINGSESTIMATES_CONSENSUSEPSESTIMATESTRENDS_DAYS7AGO_QR2_VALUE</we:customFunctionIds>
        <we:customFunctionIds>_xldudf_MXLS_EARNINGSESTIMATES_CONSENSUSEPSESTIMATESTRENDS_DAYS7AGO_QR1_MONTHYEAR</we:customFunctionIds>
        <we:customFunctionIds>_xldudf_MXLS_EARNINGSESTIMATES_CONSENSUSEPSESTIMATESTRENDS_DAYS7AGO_QR1_VALUE</we:customFunctionIds>
        <we:customFunctionIds>_xldudf_MXLS_EARNINGSESTIMATES_CONSENSUSEPSESTIMATESTRENDS_DAYS7AGO_FR1_MONTHYEAR</we:customFunctionIds>
        <we:customFunctionIds>_xldudf_MXLS_EARNINGSESTIMATES_CONSENSUSEPSESTIMATESTRENDS_DAYS7AGO_FR1_VALUE</we:customFunctionIds>
        <we:customFunctionIds>_xldudf_MXLS_EARNINGSESTIMATES_CONSENSUSEPSESTIMATESTRENDS_DAYS7AGO_FR2_MONTHYEAR</we:customFunctionIds>
        <we:customFunctionIds>_xldudf_MXLS_EARNINGSESTIMATES_CONSENSUSEPSESTIMATESTRENDS_DAYS7AGO_FR2_VALUE</we:customFunctionIds>
        <we:customFunctionIds>_xldudf_MXLS_EARNINGSESTIMATES_CONSENSUSEPSESTIMATESTRENDS_DAYS60AGO_QR2_MONTHYEAR</we:customFunctionIds>
        <we:customFunctionIds>_xldudf_MXLS_EARNINGSESTIMATES_CONSENSUSEPSESTIMATESTRENDS_DAYS60AGO_QR2_VALUE</we:customFunctionIds>
        <we:customFunctionIds>_xldudf_MXLS_EARNINGSESTIMATES_CONSENSUSEPSESTIMATESTRENDS_DAYS60AGO_QR1_MONTHYEAR</we:customFunctionIds>
        <we:customFunctionIds>_xldudf_MXLS_EARNINGSESTIMATES_CONSENSUSEPSESTIMATESTRENDS_DAYS60AGO_QR1_VALUE</we:customFunctionIds>
        <we:customFunctionIds>_xldudf_MXLS_EARNINGSESTIMATES_CONSENSUSEPSESTIMATESTRENDS_DAYS60AGO_FR1_MONTHYEAR</we:customFunctionIds>
        <we:customFunctionIds>_xldudf_MXLS_EARNINGSESTIMATES_CONSENSUSEPSESTIMATESTRENDS_DAYS60AGO_FR1_VALUE</we:customFunctionIds>
        <we:customFunctionIds>_xldudf_MXLS_EARNINGSESTIMATES_CONSENSUSEPSESTIMATESTRENDS_DAYS60AGO_FR2_MONTHYEAR</we:customFunctionIds>
        <we:customFunctionIds>_xldudf_MXLS_EARNINGSESTIMATES_CONSENSUSEPSESTIMATESTRENDS_DAYS60AGO_FR2_VALUE</we:customFunctionIds>
        <we:customFunctionIds>_xldudf_MXLS_EARNINGSESTIMATES_CONSENSUSEPSESTIMATESTRENDS_DAYS30AGO_QR2_MONTHYEAR</we:customFunctionIds>
        <we:customFunctionIds>_xldudf_MXLS_EARNINGSESTIMATES_CONSENSUSEPSESTIMATESTRENDS_DAYS30AGO_QR2_VALUE</we:customFunctionIds>
        <we:customFunctionIds>_xldudf_MXLS_EARNINGSESTIMATES_CONSENSUSEPSESTIMATESTRENDS_DAYS30AGO_QR1_MONTHYEAR</we:customFunctionIds>
        <we:customFunctionIds>_xldudf_MXLS_EARNINGSESTIMATES_CONSENSUSEPSESTIMATESTRENDS_DAYS30AGO_QR1_VALUE</we:customFunctionIds>
        <we:customFunctionIds>_xldudf_MXLS_EARNINGSESTIMATES_CONSENSUSEPSESTIMATESTRENDS_DAYS30AGO_FR1_MONTHYEAR</we:customFunctionIds>
        <we:customFunctionIds>_xldudf_MXLS_EARNINGSESTIMATES_CONSENSUSEPSESTIMATESTRENDS_DAYS30AGO_FR1_VALUE</we:customFunctionIds>
        <we:customFunctionIds>_xldudf_MXLS_EARNINGSESTIMATES_CONSENSUSEPSESTIMATESTRENDS_DAYS30AGO_FR2_MONTHYEAR</we:customFunctionIds>
        <we:customFunctionIds>_xldudf_MXLS_EARNINGSESTIMATES_CONSENSUSEPSESTIMATESTRENDS_DAYS30AGO_FR2_VALUE</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A4DE4-7573-44BC-970D-D4DC4438482A}">
  <sheetPr codeName="Sheet1"/>
  <dimension ref="A1:Q69"/>
  <sheetViews>
    <sheetView tabSelected="1" topLeftCell="A16" zoomScale="91" workbookViewId="0">
      <selection activeCell="A29" sqref="A29"/>
    </sheetView>
  </sheetViews>
  <sheetFormatPr defaultRowHeight="14.4" x14ac:dyDescent="0.3"/>
  <cols>
    <col min="1" max="1" width="72.44140625" bestFit="1" customWidth="1"/>
    <col min="2" max="2" width="19.77734375" style="14" customWidth="1"/>
    <col min="3" max="3" width="42" customWidth="1"/>
    <col min="4" max="4" width="21" bestFit="1" customWidth="1"/>
    <col min="5" max="5" width="11" bestFit="1" customWidth="1"/>
    <col min="6" max="6" width="13.33203125" bestFit="1" customWidth="1"/>
    <col min="7" max="7" width="20.21875" bestFit="1" customWidth="1"/>
    <col min="8" max="8" width="17.21875" customWidth="1"/>
    <col min="9" max="9" width="15.5546875" customWidth="1"/>
    <col min="10" max="10" width="15.21875" style="9" customWidth="1"/>
    <col min="11" max="11" width="19.33203125" style="9" customWidth="1"/>
    <col min="12" max="12" width="22.21875" style="9" customWidth="1"/>
    <col min="13" max="13" width="11" style="38" bestFit="1" customWidth="1"/>
    <col min="14" max="14" width="20" style="6" customWidth="1"/>
    <col min="15" max="15" width="24.88671875" customWidth="1"/>
    <col min="16" max="16" width="88" customWidth="1"/>
    <col min="17" max="17" width="10" bestFit="1" customWidth="1"/>
  </cols>
  <sheetData>
    <row r="1" spans="1:17" x14ac:dyDescent="0.3">
      <c r="A1" t="s">
        <v>64</v>
      </c>
      <c r="B1" s="14" t="s">
        <v>62</v>
      </c>
      <c r="C1" t="s">
        <v>2</v>
      </c>
      <c r="D1" t="s">
        <v>3</v>
      </c>
      <c r="E1" t="s">
        <v>5</v>
      </c>
      <c r="F1" t="s">
        <v>37</v>
      </c>
      <c r="G1" t="s">
        <v>78</v>
      </c>
      <c r="H1" t="s">
        <v>65</v>
      </c>
      <c r="I1" t="s">
        <v>66</v>
      </c>
      <c r="J1" s="9" t="s">
        <v>6</v>
      </c>
      <c r="K1" s="9" t="s">
        <v>67</v>
      </c>
      <c r="L1" s="9" t="s">
        <v>68</v>
      </c>
      <c r="M1" s="38" t="s">
        <v>4</v>
      </c>
      <c r="N1" s="6" t="s">
        <v>9</v>
      </c>
      <c r="O1" t="s">
        <v>8</v>
      </c>
      <c r="P1" t="s">
        <v>10</v>
      </c>
      <c r="Q1" t="s">
        <v>111</v>
      </c>
    </row>
    <row r="2" spans="1:17" x14ac:dyDescent="0.3">
      <c r="A2" t="e" vm="1">
        <v>#VALUE!</v>
      </c>
      <c r="B2" s="14" t="str" cm="1">
        <f t="array" aca="1" ref="B2" ca="1">_FV(Table9[[#This Row],[Stocks]],"Ticker symbol",TRUE)</f>
        <v>SLI</v>
      </c>
      <c r="C2" t="str" cm="1">
        <f t="array" aca="1" ref="C2" ca="1">_FV(Table9[[#This Row],[Stocks]],"Industry")</f>
        <v>Metals &amp; Mining</v>
      </c>
      <c r="D2" s="5" cm="1">
        <f t="array" aca="1" ref="D2" ca="1">_FV(Table9[[#This Row],[Stocks]],"Market cap",TRUE)</f>
        <v>328229180</v>
      </c>
      <c r="E2" s="13" cm="1">
        <f t="array" aca="1" ref="E2" ca="1">_FV(Table9[[#This Row],[Stocks]],"Price")</f>
        <v>1.9</v>
      </c>
      <c r="F2" s="10" cm="1">
        <f t="array" aca="1" ref="F2" ca="1">_FV(Table9[[#This Row],[Stocks]],"Change (%)",TRUE)</f>
        <v>3.8251E-2</v>
      </c>
      <c r="G2" t="e" cm="1" vm="2">
        <f t="array" ref="G2">_FV(Table9[[#This Row],[Stocks]],"Change % (Extended hours)",TRUE)</f>
        <v>#VALUE!</v>
      </c>
      <c r="H2" s="13" cm="1">
        <f t="array" aca="1" ref="H2" ca="1">_FV(Table9[[#This Row],[Stocks]],"52 week high",TRUE)</f>
        <v>3.67</v>
      </c>
      <c r="I2" s="13" cm="1">
        <f t="array" aca="1" ref="I2" ca="1">_FV(Table9[[#This Row],[Stocks]],"52 week low",TRUE)</f>
        <v>1.45</v>
      </c>
      <c r="J2" s="9" cm="1">
        <f t="array" aca="1" ref="J2" ca="1">_FV(Table9[[#This Row],[Stocks]],"Volume")</f>
        <v>49848</v>
      </c>
      <c r="K2" s="9" cm="1">
        <f t="array" aca="1" ref="K2" ca="1">_FV(Table9[[#This Row],[Stocks]],"Volume average",TRUE)</f>
        <v>202820</v>
      </c>
      <c r="L2" s="9" cm="1">
        <f t="array" aca="1" ref="L2" ca="1">_FV(Table9[[#This Row],[Stocks]],"Shares outstanding",TRUE)</f>
        <v>172752200</v>
      </c>
      <c r="M2" s="38" cm="1">
        <f t="array" aca="1" ref="M2" ca="1">_FV(Table9[[#This Row],[Stocks]],"P/E",TRUE)</f>
        <v>2.4249000000000001</v>
      </c>
      <c r="N2" s="6" cm="1">
        <f t="array" aca="1" ref="N2" ca="1">_FV(Table9[[#This Row],[Stocks]],"Year incorporated",TRUE)</f>
        <v>2021</v>
      </c>
      <c r="O2" s="7" t="str" cm="1">
        <f t="array" aca="1" ref="O2" ca="1">_FV(Table9[[#This Row],[Stocks]],"Exchange")</f>
        <v>TSX Venture Exchange</v>
      </c>
      <c r="P2" s="7" t="str" cm="1">
        <f t="array" aca="1" ref="P2" ca="1">_FV(Table9[[#This Row],[Stocks]],"Headquarters")</f>
        <v>1625 - 1075 West Georgia Street, VANCOUVER, BC, V6E 3C9 CA</v>
      </c>
      <c r="Q2" s="7" t="s">
        <v>112</v>
      </c>
    </row>
    <row r="3" spans="1:17" x14ac:dyDescent="0.3">
      <c r="A3" t="e" vm="3">
        <v>#VALUE!</v>
      </c>
      <c r="B3" s="14" t="str" cm="1">
        <f t="array" aca="1" ref="B3" ca="1">_FV(Table9[[#This Row],[Stocks]],"Ticker symbol",TRUE)</f>
        <v>TGEN</v>
      </c>
      <c r="C3" t="str" cm="1">
        <f t="array" aca="1" ref="C3" ca="1">_FV(Table9[[#This Row],[Stocks]],"Industry")</f>
        <v>Machinery, Equipment &amp; Components</v>
      </c>
      <c r="D3" s="3" cm="1">
        <f t="array" aca="1" ref="D3" ca="1">_FV(Table9[[#This Row],[Stocks]],"Market cap",TRUE)</f>
        <v>59640624</v>
      </c>
      <c r="E3" s="7" cm="1">
        <f t="array" aca="1" ref="E3" ca="1">_FV(Table9[[#This Row],[Stocks]],"Price")</f>
        <v>2.4</v>
      </c>
      <c r="F3" s="10" cm="1">
        <f t="array" aca="1" ref="F3" ca="1">_FV(Table9[[#This Row],[Stocks]],"Change (%)",TRUE)</f>
        <v>3.0043E-2</v>
      </c>
      <c r="G3" s="10" cm="1">
        <f t="array" aca="1" ref="G3" ca="1">_FV(Table9[[#This Row],[Stocks]],"Change % (Extended hours)",TRUE)</f>
        <v>-4.1670000000000006E-3</v>
      </c>
      <c r="H3" s="7" cm="1">
        <f t="array" aca="1" ref="H3" ca="1">_FV(Table9[[#This Row],[Stocks]],"52 week high",TRUE)</f>
        <v>3.4</v>
      </c>
      <c r="I3" s="7" cm="1">
        <f t="array" aca="1" ref="I3" ca="1">_FV(Table9[[#This Row],[Stocks]],"52 week low",TRUE)</f>
        <v>0.58499999999999996</v>
      </c>
      <c r="J3" s="9" cm="1">
        <f t="array" aca="1" ref="J3" ca="1">_FV(Table9[[#This Row],[Stocks]],"Volume")</f>
        <v>132687</v>
      </c>
      <c r="K3" s="9" cm="1">
        <f t="array" aca="1" ref="K3" ca="1">_FV(Table9[[#This Row],[Stocks]],"Volume average",TRUE)</f>
        <v>247450</v>
      </c>
      <c r="L3" s="9" cm="1">
        <f t="array" aca="1" ref="L3" ca="1">_FV(Table9[[#This Row],[Stocks]],"Shares outstanding",TRUE)</f>
        <v>24850260</v>
      </c>
      <c r="M3" s="38" cm="1">
        <f t="array" aca="1" ref="M3" ca="1">_FV(Table9[[#This Row],[Stocks]],"P/E",TRUE)</f>
        <v>0</v>
      </c>
      <c r="N3" s="6" cm="1">
        <f t="array" aca="1" ref="N3" ca="1">_FV(Table9[[#This Row],[Stocks]],"Year incorporated",TRUE)</f>
        <v>2000</v>
      </c>
      <c r="O3" s="7" t="str" cm="1">
        <f t="array" aca="1" ref="O3" ca="1">_FV(Table9[[#This Row],[Stocks]],"Exchange")</f>
        <v>OTC Markets</v>
      </c>
      <c r="P3" s="7" t="str" cm="1">
        <f t="array" aca="1" ref="P3" ca="1">_FV(Table9[[#This Row],[Stocks]],"Headquarters")</f>
        <v>45 1st Ave, WALTHAM, MA, 02451-1105 US</v>
      </c>
      <c r="Q3" s="7" t="s">
        <v>114</v>
      </c>
    </row>
    <row r="4" spans="1:17" x14ac:dyDescent="0.3">
      <c r="A4" t="e" vm="4">
        <v>#VALUE!</v>
      </c>
      <c r="B4" s="14" t="str" cm="1">
        <f t="array" aca="1" ref="B4" ca="1">_FV(Table9[[#This Row],[Stocks]],"Ticker symbol",TRUE)</f>
        <v>HMR</v>
      </c>
      <c r="C4" t="str" cm="1">
        <f t="array" aca="1" ref="C4" ca="1">_FV(Table9[[#This Row],[Stocks]],"Industry")</f>
        <v>Media &amp; Publishing</v>
      </c>
      <c r="D4" s="3" cm="1">
        <f t="array" aca="1" ref="D4" ca="1">_FV(Table9[[#This Row],[Stocks]],"Market cap",TRUE)</f>
        <v>171960468</v>
      </c>
      <c r="E4" s="7" cm="1">
        <f t="array" aca="1" ref="E4" ca="1">_FV(Table9[[#This Row],[Stocks]],"Price")</f>
        <v>3.03</v>
      </c>
      <c r="F4" s="10" cm="1">
        <f t="array" aca="1" ref="F4" ca="1">_FV(Table9[[#This Row],[Stocks]],"Change (%)",TRUE)</f>
        <v>0</v>
      </c>
      <c r="G4" s="10" t="e" cm="1" vm="2">
        <f t="array" ref="G4">_FV(Table9[[#This Row],[Stocks]],"Change % (Extended hours)",TRUE)</f>
        <v>#VALUE!</v>
      </c>
      <c r="H4" s="7" cm="1">
        <f t="array" aca="1" ref="H4" ca="1">_FV(Table9[[#This Row],[Stocks]],"52 week high",TRUE)</f>
        <v>18.3</v>
      </c>
      <c r="I4" s="7" cm="1">
        <f t="array" aca="1" ref="I4" ca="1">_FV(Table9[[#This Row],[Stocks]],"52 week low",TRUE)</f>
        <v>0.1</v>
      </c>
      <c r="J4" s="9" cm="1">
        <f t="array" aca="1" ref="J4" ca="1">_FV(Table9[[#This Row],[Stocks]],"Volume")</f>
        <v>4830541</v>
      </c>
      <c r="K4" s="9" cm="1">
        <f t="array" aca="1" ref="K4" ca="1">_FV(Table9[[#This Row],[Stocks]],"Volume average",TRUE)</f>
        <v>214384520</v>
      </c>
      <c r="L4" s="9" cm="1">
        <f t="array" aca="1" ref="L4" ca="1">_FV(Table9[[#This Row],[Stocks]],"Shares outstanding",TRUE)</f>
        <v>56752630</v>
      </c>
      <c r="M4" s="38" t="e" cm="1" vm="5">
        <f t="array" ref="M4">_FV(Table9[[#This Row],[Stocks]],"P/E",TRUE)</f>
        <v>#VALUE!</v>
      </c>
      <c r="N4" s="6" cm="1">
        <f t="array" aca="1" ref="N4" ca="1">_FV(Table9[[#This Row],[Stocks]],"Year incorporated",TRUE)</f>
        <v>2021</v>
      </c>
      <c r="O4" s="7" t="str" cm="1">
        <f t="array" aca="1" ref="O4" ca="1">_FV(Table9[[#This Row],[Stocks]],"Exchange")</f>
        <v>Nasdaq Stock Market</v>
      </c>
      <c r="P4" s="7" t="str" cm="1">
        <f t="array" aca="1" ref="P4" ca="1">_FV(Table9[[#This Row],[Stocks]],"Headquarters")</f>
        <v>813 Ne 17Th Terrace,, Unit A, FORT LAUDERDALE, FL, 33304 US</v>
      </c>
    </row>
    <row r="5" spans="1:17" x14ac:dyDescent="0.3">
      <c r="A5" t="e" vm="6">
        <v>#VALUE!</v>
      </c>
      <c r="B5" s="14" t="str" cm="1">
        <f t="array" aca="1" ref="B5" ca="1">_FV(Table9[[#This Row],[Stocks]],"Ticker symbol",TRUE)</f>
        <v>2330</v>
      </c>
      <c r="C5" t="str" cm="1">
        <f t="array" aca="1" ref="C5" ca="1">_FV(Table9[[#This Row],[Stocks]],"Industry")</f>
        <v>Semiconductors &amp; Semiconductor Equipment</v>
      </c>
      <c r="D5" s="3" cm="1">
        <f t="array" aca="1" ref="D5" ca="1">_FV(Table9[[#This Row],[Stocks]],"Market cap",TRUE)</f>
        <v>26451390000000</v>
      </c>
      <c r="E5" s="7" cm="1">
        <f t="array" aca="1" ref="E5" ca="1">_FV(Table9[[#This Row],[Stocks]],"Price")</f>
        <v>1005</v>
      </c>
      <c r="F5" s="10" cm="1">
        <f t="array" aca="1" ref="F5" ca="1">_FV(Table9[[#This Row],[Stocks]],"Change (%)",TRUE)</f>
        <v>0</v>
      </c>
      <c r="G5" s="10" t="e" cm="1" vm="2">
        <f t="array" ref="G5">_FV(Table9[[#This Row],[Stocks]],"Change % (Extended hours)",TRUE)</f>
        <v>#VALUE!</v>
      </c>
      <c r="H5" s="7" cm="1">
        <f t="array" aca="1" ref="H5" ca="1">_FV(Table9[[#This Row],[Stocks]],"52 week high",TRUE)</f>
        <v>1160</v>
      </c>
      <c r="I5" s="7" cm="1">
        <f t="array" aca="1" ref="I5" ca="1">_FV(Table9[[#This Row],[Stocks]],"52 week low",TRUE)</f>
        <v>711</v>
      </c>
      <c r="J5" s="9" cm="1">
        <f t="array" aca="1" ref="J5" ca="1">_FV(Table9[[#This Row],[Stocks]],"Volume")</f>
        <v>50358724</v>
      </c>
      <c r="K5" s="9" cm="1">
        <f t="array" aca="1" ref="K5" ca="1">_FV(Table9[[#This Row],[Stocks]],"Volume average",TRUE)</f>
        <v>47217110</v>
      </c>
      <c r="L5" s="9" cm="1">
        <f t="array" aca="1" ref="L5" ca="1">_FV(Table9[[#This Row],[Stocks]],"Shares outstanding",TRUE)</f>
        <v>25932730000</v>
      </c>
      <c r="M5" s="38" cm="1">
        <f t="array" aca="1" ref="M5" ca="1">_FV(Table9[[#This Row],[Stocks]],"P/E",TRUE)</f>
        <v>22.21</v>
      </c>
      <c r="N5" s="6" cm="1">
        <f t="array" aca="1" ref="N5" ca="1">_FV(Table9[[#This Row],[Stocks]],"Year incorporated",TRUE)</f>
        <v>1987</v>
      </c>
      <c r="O5" s="7" t="str" cm="1">
        <f t="array" aca="1" ref="O5" ca="1">_FV(Table9[[#This Row],[Stocks]],"Exchange")</f>
        <v>Taiwan Stock Exchange</v>
      </c>
      <c r="P5" s="7" t="str" cm="1">
        <f t="array" aca="1" ref="P5" ca="1">_FV(Table9[[#This Row],[Stocks]],"Headquarters")</f>
        <v>No.8, Li-Hsin 6th Road, Hsinchu Science Park, HSINCHU, HSINCHU, 300 TW</v>
      </c>
    </row>
    <row r="6" spans="1:17" x14ac:dyDescent="0.3">
      <c r="A6" t="e" vm="7">
        <v>#VALUE!</v>
      </c>
      <c r="B6" s="14" t="str" cm="1">
        <f t="array" aca="1" ref="B6" ca="1">_FV(Table9[[#This Row],[Stocks]],"Ticker symbol",TRUE)</f>
        <v>FLYX</v>
      </c>
      <c r="C6" t="str" cm="1">
        <f t="array" aca="1" ref="C6" ca="1">_FV(Table9[[#This Row],[Stocks]],"Industry")</f>
        <v>Passenger Transportation Services</v>
      </c>
      <c r="D6" s="3" cm="1">
        <f t="array" aca="1" ref="D6" ca="1">_FV(Table9[[#This Row],[Stocks]],"Market cap",TRUE)</f>
        <v>260562200</v>
      </c>
      <c r="E6" s="7" cm="1">
        <f t="array" aca="1" ref="E6" ca="1">_FV(Table9[[#This Row],[Stocks]],"Price")</f>
        <v>3.335</v>
      </c>
      <c r="F6" s="10" cm="1">
        <f t="array" aca="1" ref="F6" ca="1">_FV(Table9[[#This Row],[Stocks]],"Change (%)",TRUE)</f>
        <v>-4.4779999999999993E-3</v>
      </c>
      <c r="G6" s="10" cm="1">
        <f t="array" aca="1" ref="G6" ca="1">_FV(Table9[[#This Row],[Stocks]],"Change % (Extended hours)",TRUE)</f>
        <v>-4.9474999999999998E-2</v>
      </c>
      <c r="H6" s="7" cm="1">
        <f t="array" aca="1" ref="H6" ca="1">_FV(Table9[[#This Row],[Stocks]],"52 week high",TRUE)</f>
        <v>24.21</v>
      </c>
      <c r="I6" s="7" cm="1">
        <f t="array" aca="1" ref="I6" ca="1">_FV(Table9[[#This Row],[Stocks]],"52 week low",TRUE)</f>
        <v>1.79</v>
      </c>
      <c r="J6" s="9" cm="1">
        <f t="array" aca="1" ref="J6" ca="1">_FV(Table9[[#This Row],[Stocks]],"Volume")</f>
        <v>5267</v>
      </c>
      <c r="K6" s="9" cm="1">
        <f t="array" aca="1" ref="K6" ca="1">_FV(Table9[[#This Row],[Stocks]],"Volume average",TRUE)</f>
        <v>34596</v>
      </c>
      <c r="L6" s="9" cm="1">
        <f t="array" aca="1" ref="L6" ca="1">_FV(Table9[[#This Row],[Stocks]],"Shares outstanding",TRUE)</f>
        <v>78129590</v>
      </c>
      <c r="M6" s="38" t="e" cm="1" vm="5">
        <f t="array" ref="M6">_FV(Table9[[#This Row],[Stocks]],"P/E",TRUE)</f>
        <v>#VALUE!</v>
      </c>
      <c r="N6" s="6" cm="1">
        <f t="array" aca="1" ref="N6" ca="1">_FV(Table9[[#This Row],[Stocks]],"Year incorporated",TRUE)</f>
        <v>2021</v>
      </c>
      <c r="O6" s="7" t="str" cm="1">
        <f t="array" aca="1" ref="O6" ca="1">_FV(Table9[[#This Row],[Stocks]],"Exchange")</f>
        <v>New York Stock Exchange</v>
      </c>
      <c r="P6" s="7" t="str" cm="1">
        <f t="array" aca="1" ref="P6" ca="1">_FV(Table9[[#This Row],[Stocks]],"Headquarters")</f>
        <v>375 Park Avenue, 24th Floor, NEW YORK, NY, 10152 US</v>
      </c>
    </row>
    <row r="7" spans="1:17" x14ac:dyDescent="0.3">
      <c r="A7" t="e" vm="8">
        <v>#VALUE!</v>
      </c>
      <c r="B7" s="14" t="str" cm="1">
        <f t="array" aca="1" ref="B7" ca="1">_FV(Table9[[#This Row],[Stocks]],"Ticker symbol",TRUE)</f>
        <v>ASML</v>
      </c>
      <c r="C7" t="str" cm="1">
        <f t="array" aca="1" ref="C7" ca="1">_FV(Table9[[#This Row],[Stocks]],"Industry")</f>
        <v>Semiconductors &amp; Semiconductor Equipment</v>
      </c>
      <c r="D7" s="3" cm="1">
        <f t="array" aca="1" ref="D7" ca="1">_FV(Table9[[#This Row],[Stocks]],"Market cap",TRUE)</f>
        <v>262291300000</v>
      </c>
      <c r="E7" s="7" cm="1">
        <f t="array" aca="1" ref="E7" ca="1">_FV(Table9[[#This Row],[Stocks]],"Price")</f>
        <v>666</v>
      </c>
      <c r="F7" s="10" cm="1">
        <f t="array" aca="1" ref="F7" ca="1">_FV(Table9[[#This Row],[Stocks]],"Change (%)",TRUE)</f>
        <v>-5.9699999999999996E-3</v>
      </c>
      <c r="G7" s="10" t="e" cm="1" vm="2">
        <f t="array" ref="G7">_FV(Table9[[#This Row],[Stocks]],"Change % (Extended hours)",TRUE)</f>
        <v>#VALUE!</v>
      </c>
      <c r="H7" s="7" cm="1">
        <f t="array" aca="1" ref="H7" ca="1">_FV(Table9[[#This Row],[Stocks]],"52 week high",TRUE)</f>
        <v>1021.8</v>
      </c>
      <c r="I7" s="7" cm="1">
        <f t="array" aca="1" ref="I7" ca="1">_FV(Table9[[#This Row],[Stocks]],"52 week low",TRUE)</f>
        <v>605.70000000000005</v>
      </c>
      <c r="J7" s="9" cm="1">
        <f t="array" aca="1" ref="J7" ca="1">_FV(Table9[[#This Row],[Stocks]],"Volume")</f>
        <v>746863</v>
      </c>
      <c r="K7" s="9" cm="1">
        <f t="array" aca="1" ref="K7" ca="1">_FV(Table9[[#This Row],[Stocks]],"Volume average",TRUE)</f>
        <v>924920</v>
      </c>
      <c r="L7" s="9" cm="1">
        <f t="array" aca="1" ref="L7" ca="1">_FV(Table9[[#This Row],[Stocks]],"Shares outstanding",TRUE)</f>
        <v>393830700</v>
      </c>
      <c r="M7" s="38" cm="1">
        <f t="array" aca="1" ref="M7" ca="1">_FV(Table9[[#This Row],[Stocks]],"P/E",TRUE)</f>
        <v>34.601900000000001</v>
      </c>
      <c r="N7" s="6" cm="1">
        <f t="array" aca="1" ref="N7" ca="1">_FV(Table9[[#This Row],[Stocks]],"Year incorporated",TRUE)</f>
        <v>1994</v>
      </c>
      <c r="O7" s="7" t="str" cm="1">
        <f t="array" aca="1" ref="O7" ca="1">_FV(Table9[[#This Row],[Stocks]],"Exchange")</f>
        <v>Euronext Amsterdam</v>
      </c>
      <c r="P7" s="7" t="str" cm="1">
        <f t="array" aca="1" ref="P7" ca="1">_FV(Table9[[#This Row],[Stocks]],"Headquarters")</f>
        <v>De Run 6501, VELDHOVEN, NOORD-BRABANT, 5504 DR NL</v>
      </c>
    </row>
    <row r="8" spans="1:17" x14ac:dyDescent="0.3">
      <c r="A8" t="e" vm="9">
        <v>#VALUE!</v>
      </c>
      <c r="B8" s="14" t="str" cm="1">
        <f t="array" aca="1" ref="B8" ca="1">_FV(Table9[[#This Row],[Stocks]],"Ticker symbol",TRUE)</f>
        <v>NKE</v>
      </c>
      <c r="C8" t="str" cm="1">
        <f t="array" aca="1" ref="C8" ca="1">_FV(Table9[[#This Row],[Stocks]],"Industry")</f>
        <v>Textiles &amp; Apparel</v>
      </c>
      <c r="D8" s="3" cm="1">
        <f t="array" aca="1" ref="D8" ca="1">_FV(Table9[[#This Row],[Stocks]],"Market cap",TRUE)</f>
        <v>116244600000</v>
      </c>
      <c r="E8" s="7" cm="1">
        <f t="array" aca="1" ref="E8" ca="1">_FV(Table9[[#This Row],[Stocks]],"Price")</f>
        <v>71.08</v>
      </c>
      <c r="F8" s="10" cm="1">
        <f t="array" aca="1" ref="F8" ca="1">_FV(Table9[[#This Row],[Stocks]],"Change (%)",TRUE)</f>
        <v>-1.4419999999999999E-2</v>
      </c>
      <c r="G8" s="10" t="e" cm="1" vm="2">
        <f t="array" ref="G8">_FV(Table9[[#This Row],[Stocks]],"Change % (Extended hours)",TRUE)</f>
        <v>#VALUE!</v>
      </c>
      <c r="H8" s="7" t="e" cm="1" vm="10">
        <f t="array" ref="H8">_FV(Table9[[#This Row],[Stocks]],"52 week high",TRUE)</f>
        <v>#VALUE!</v>
      </c>
      <c r="I8" s="7" t="e" cm="1" vm="11">
        <f t="array" ref="I8">_FV(Table9[[#This Row],[Stocks]],"52 week low",TRUE)</f>
        <v>#VALUE!</v>
      </c>
      <c r="J8" s="9" cm="1">
        <f t="array" aca="1" ref="J8" ca="1">_FV(Table9[[#This Row],[Stocks]],"Volume")</f>
        <v>912</v>
      </c>
      <c r="K8" s="9" cm="1">
        <f t="array" aca="1" ref="K8" ca="1">_FV(Table9[[#This Row],[Stocks]],"Volume average",TRUE)</f>
        <v>13286350</v>
      </c>
      <c r="L8" s="9" cm="1">
        <f t="array" aca="1" ref="L8" ca="1">_FV(Table9[[#This Row],[Stocks]],"Shares outstanding",TRUE)</f>
        <v>1479127000</v>
      </c>
      <c r="M8" s="38" cm="1">
        <f t="array" aca="1" ref="M8" ca="1">_FV(Table9[[#This Row],[Stocks]],"P/E",TRUE)</f>
        <v>23.2288</v>
      </c>
      <c r="N8" s="6" cm="1">
        <f t="array" aca="1" ref="N8" ca="1">_FV(Table9[[#This Row],[Stocks]],"Year incorporated",TRUE)</f>
        <v>1969</v>
      </c>
      <c r="O8" s="7" t="str" cm="1">
        <f t="array" aca="1" ref="O8" ca="1">_FV(Table9[[#This Row],[Stocks]],"Exchange")</f>
        <v>Deutsche Boerse AG</v>
      </c>
      <c r="P8" s="7" t="str" cm="1">
        <f t="array" aca="1" ref="P8" ca="1">_FV(Table9[[#This Row],[Stocks]],"Headquarters")</f>
        <v>One Bowerman Dr, BEAVERTON, OR, 97005-6453 US</v>
      </c>
    </row>
    <row r="9" spans="1:17" x14ac:dyDescent="0.3">
      <c r="A9" t="e" vm="12">
        <v>#VALUE!</v>
      </c>
      <c r="B9" s="14" t="str" cm="1">
        <f t="array" aca="1" ref="B9" ca="1">_FV(Table9[[#This Row],[Stocks]],"Ticker symbol",TRUE)</f>
        <v>GCT</v>
      </c>
      <c r="C9" t="str" cm="1">
        <f t="array" aca="1" ref="C9" ca="1">_FV(Table9[[#This Row],[Stocks]],"Industry")</f>
        <v>Real Estate Operations</v>
      </c>
      <c r="D9" s="3" cm="1">
        <f t="array" aca="1" ref="D9" ca="1">_FV(Table9[[#This Row],[Stocks]],"Market cap",TRUE)</f>
        <v>2349457000</v>
      </c>
      <c r="E9" s="7" cm="1">
        <f t="array" aca="1" ref="E9" ca="1">_FV(Table9[[#This Row],[Stocks]],"Price")</f>
        <v>1160</v>
      </c>
      <c r="F9" s="10" cm="1">
        <f t="array" aca="1" ref="F9" ca="1">_FV(Table9[[#This Row],[Stocks]],"Change (%)",TRUE)</f>
        <v>-1.6115000000000001E-2</v>
      </c>
      <c r="G9" s="10" t="e" cm="1" vm="2">
        <f t="array" ref="G9">_FV(Table9[[#This Row],[Stocks]],"Change % (Extended hours)",TRUE)</f>
        <v>#VALUE!</v>
      </c>
      <c r="H9" s="7" cm="1">
        <f t="array" aca="1" ref="H9" ca="1">_FV(Table9[[#This Row],[Stocks]],"52 week high",TRUE)</f>
        <v>3783</v>
      </c>
      <c r="I9" s="7" cm="1">
        <f t="array" aca="1" ref="I9" ca="1">_FV(Table9[[#This Row],[Stocks]],"52 week low",TRUE)</f>
        <v>845.8</v>
      </c>
      <c r="J9" s="9" cm="1">
        <f t="array" aca="1" ref="J9" ca="1">_FV(Table9[[#This Row],[Stocks]],"Volume")</f>
        <v>433908</v>
      </c>
      <c r="K9" s="9" cm="1">
        <f t="array" aca="1" ref="K9" ca="1">_FV(Table9[[#This Row],[Stocks]],"Volume average",TRUE)</f>
        <v>399000</v>
      </c>
      <c r="L9" s="9" cm="1">
        <f t="array" aca="1" ref="L9" ca="1">_FV(Table9[[#This Row],[Stocks]],"Shares outstanding",TRUE)</f>
        <v>199275400</v>
      </c>
      <c r="M9" s="38" t="e" cm="1" vm="5">
        <f t="array" ref="M9">_FV(Table9[[#This Row],[Stocks]],"P/E",TRUE)</f>
        <v>#VALUE!</v>
      </c>
      <c r="N9" s="6" cm="1">
        <f t="array" aca="1" ref="N9" ca="1">_FV(Table9[[#This Row],[Stocks]],"Year incorporated",TRUE)</f>
        <v>1982</v>
      </c>
      <c r="O9" s="7" t="str" cm="1">
        <f t="array" aca="1" ref="O9" ca="1">_FV(Table9[[#This Row],[Stocks]],"Exchange")</f>
        <v>Tel Aviv Stock Exchange</v>
      </c>
      <c r="P9" s="7" t="str" cm="1">
        <f t="array" aca="1" ref="P9" ca="1">_FV(Table9[[#This Row],[Stocks]],"Headquarters")</f>
        <v>Aharon Becker 8, TEL AVIV-YAFO, 6964316 IL</v>
      </c>
      <c r="Q9" s="7" t="s">
        <v>113</v>
      </c>
    </row>
    <row r="10" spans="1:17" x14ac:dyDescent="0.3">
      <c r="A10" t="e" vm="13">
        <v>#VALUE!</v>
      </c>
      <c r="B10" s="14" t="str" cm="1">
        <f t="array" aca="1" ref="B10" ca="1">_FV(Table9[[#This Row],[Stocks]],"Ticker symbol",TRUE)</f>
        <v>KRKNF</v>
      </c>
      <c r="C10" t="str" cm="1">
        <f t="array" aca="1" ref="C10" ca="1">_FV(Table9[[#This Row],[Stocks]],"Industry")</f>
        <v>Aerospace &amp; Defense</v>
      </c>
      <c r="D10" s="5" cm="1">
        <f t="array" aca="1" ref="D10" ca="1">_FV(Table9[[#This Row],[Stocks]],"Market cap",TRUE)</f>
        <v>601762400</v>
      </c>
      <c r="E10" s="7" cm="1">
        <f t="array" aca="1" ref="E10" ca="1">_FV(Table9[[#This Row],[Stocks]],"Price")</f>
        <v>1.573</v>
      </c>
      <c r="F10" s="10" cm="1">
        <f t="array" aca="1" ref="F10" ca="1">_FV(Table9[[#This Row],[Stocks]],"Change (%)",TRUE)</f>
        <v>-1.6875000000000001E-2</v>
      </c>
      <c r="G10" s="10" cm="1">
        <f t="array" aca="1" ref="G10" ca="1">_FV(Table9[[#This Row],[Stocks]],"Change % (Extended hours)",TRUE)</f>
        <v>-5.1209999999999997E-3</v>
      </c>
      <c r="H10" s="7" cm="1">
        <f t="array" aca="1" ref="H10" ca="1">_FV(Table9[[#This Row],[Stocks]],"52 week high",TRUE)</f>
        <v>2.12</v>
      </c>
      <c r="I10" s="7" cm="1">
        <f t="array" aca="1" ref="I10" ca="1">_FV(Table9[[#This Row],[Stocks]],"52 week low",TRUE)</f>
        <v>0.68</v>
      </c>
      <c r="J10" s="9" cm="1">
        <f t="array" aca="1" ref="J10" ca="1">_FV(Table9[[#This Row],[Stocks]],"Volume")</f>
        <v>219464</v>
      </c>
      <c r="K10" s="9" cm="1">
        <f t="array" aca="1" ref="K10" ca="1">_FV(Table9[[#This Row],[Stocks]],"Volume average",TRUE)</f>
        <v>1208580</v>
      </c>
      <c r="L10" s="9" cm="1">
        <f t="array" aca="1" ref="L10" ca="1">_FV(Table9[[#This Row],[Stocks]],"Shares outstanding",TRUE)</f>
        <v>262778400</v>
      </c>
      <c r="M10" s="38" cm="1">
        <f t="array" aca="1" ref="M10" ca="1">_FV(Table9[[#This Row],[Stocks]],"P/E",TRUE)</f>
        <v>52.0154</v>
      </c>
      <c r="N10" s="6" cm="1">
        <f t="array" aca="1" ref="N10" ca="1">_FV(Table9[[#This Row],[Stocks]],"Year incorporated",TRUE)</f>
        <v>2015</v>
      </c>
      <c r="O10" s="7" t="str" cm="1">
        <f t="array" aca="1" ref="O10" ca="1">_FV(Table9[[#This Row],[Stocks]],"Exchange")</f>
        <v>OTC Markets</v>
      </c>
      <c r="P10" s="7" t="str" cm="1">
        <f t="array" aca="1" ref="P10" ca="1">_FV(Table9[[#This Row],[Stocks]],"Headquarters")</f>
        <v>189 Glencoe Dr, MOUNT PEARL, NL, A1N 4P6 CA</v>
      </c>
      <c r="Q10" s="7" t="s">
        <v>112</v>
      </c>
    </row>
    <row r="11" spans="1:17" x14ac:dyDescent="0.3">
      <c r="A11" t="e" vm="14">
        <v>#VALUE!</v>
      </c>
      <c r="B11" s="14" t="str" cm="1">
        <f t="array" aca="1" ref="B11" ca="1">_FV(Table9[[#This Row],[Stocks]],"Ticker symbol",TRUE)</f>
        <v>DGX</v>
      </c>
      <c r="C11" t="str" cm="1">
        <f t="array" aca="1" ref="C11" ca="1">_FV(Table9[[#This Row],[Stocks]],"Industry")</f>
        <v>Financial Technology (Fintech) &amp; Infrastructure</v>
      </c>
      <c r="D11" s="3" cm="1">
        <f t="array" aca="1" ref="D11" ca="1">_FV(Table9[[#This Row],[Stocks]],"Market cap",TRUE)</f>
        <v>71730471</v>
      </c>
      <c r="E11" s="7" cm="1">
        <f t="array" aca="1" ref="E11" ca="1">_FV(Table9[[#This Row],[Stocks]],"Price")</f>
        <v>1.94</v>
      </c>
      <c r="F11" s="10" cm="1">
        <f t="array" aca="1" ref="F11" ca="1">_FV(Table9[[#This Row],[Stocks]],"Change (%)",TRUE)</f>
        <v>-5.3658999999999998E-2</v>
      </c>
      <c r="G11" s="10" t="e" cm="1" vm="2">
        <f t="array" ref="G11">_FV(Table9[[#This Row],[Stocks]],"Change % (Extended hours)",TRUE)</f>
        <v>#VALUE!</v>
      </c>
      <c r="H11" s="7" cm="1">
        <f t="array" aca="1" ref="H11" ca="1">_FV(Table9[[#This Row],[Stocks]],"52 week high",TRUE)</f>
        <v>5.42</v>
      </c>
      <c r="I11" s="7" cm="1">
        <f t="array" aca="1" ref="I11" ca="1">_FV(Table9[[#This Row],[Stocks]],"52 week low",TRUE)</f>
        <v>1.35</v>
      </c>
      <c r="J11" s="9" cm="1">
        <f t="array" aca="1" ref="J11" ca="1">_FV(Table9[[#This Row],[Stocks]],"Volume")</f>
        <v>7264</v>
      </c>
      <c r="K11" s="9" cm="1">
        <f t="array" aca="1" ref="K11" ca="1">_FV(Table9[[#This Row],[Stocks]],"Volume average",TRUE)</f>
        <v>32020</v>
      </c>
      <c r="L11" s="9" cm="1">
        <f t="array" aca="1" ref="L11" ca="1">_FV(Table9[[#This Row],[Stocks]],"Shares outstanding",TRUE)</f>
        <v>36974470</v>
      </c>
      <c r="M11" s="38" t="e" cm="1" vm="5">
        <f t="array" ref="M11">_FV(Table9[[#This Row],[Stocks]],"P/E",TRUE)</f>
        <v>#VALUE!</v>
      </c>
      <c r="N11" s="6" cm="1">
        <f t="array" aca="1" ref="N11" ca="1">_FV(Table9[[#This Row],[Stocks]],"Year incorporated",TRUE)</f>
        <v>2017</v>
      </c>
      <c r="O11" s="7" t="str" cm="1">
        <f t="array" aca="1" ref="O11" ca="1">_FV(Table9[[#This Row],[Stocks]],"Exchange")</f>
        <v>TSX Venture Exchange</v>
      </c>
      <c r="P11" s="7" t="str" cm="1">
        <f t="array" aca="1" ref="P11" ca="1">_FV(Table9[[#This Row],[Stocks]],"Headquarters")</f>
        <v>110 Yonge Street, Suite 1601, TORONTO, ON, M5C 1T4 CA</v>
      </c>
      <c r="Q11" s="7" t="s">
        <v>112</v>
      </c>
    </row>
    <row r="12" spans="1:17" x14ac:dyDescent="0.3">
      <c r="A12" t="e" vm="15">
        <v>#VALUE!</v>
      </c>
      <c r="B12" s="14" t="str" cm="1">
        <f t="array" aca="1" ref="B12" ca="1">_FV(Table9[[#This Row],[Stocks]],"Ticker symbol",TRUE)</f>
        <v>JTAI</v>
      </c>
      <c r="C12" t="str" cm="1">
        <f t="array" aca="1" ref="C12" ca="1">_FV(Table9[[#This Row],[Stocks]],"Industry")</f>
        <v>Software &amp; IT Services</v>
      </c>
      <c r="D12" s="3" cm="1">
        <f t="array" aca="1" ref="D12" ca="1">_FV(Table9[[#This Row],[Stocks]],"Market cap",TRUE)</f>
        <v>6638230</v>
      </c>
      <c r="E12" s="7" cm="1">
        <f t="array" aca="1" ref="E12" ca="1">_FV(Table9[[#This Row],[Stocks]],"Price")</f>
        <v>5.0999999999999996</v>
      </c>
      <c r="F12" s="10" cm="1">
        <f t="array" aca="1" ref="F12" ca="1">_FV(Table9[[#This Row],[Stocks]],"Change (%)",TRUE)</f>
        <v>-6.5933999999999993E-2</v>
      </c>
      <c r="G12" s="10" cm="1">
        <f t="array" aca="1" ref="G12" ca="1">_FV(Table9[[#This Row],[Stocks]],"Change % (Extended hours)",TRUE)</f>
        <v>-1.3725000000000001E-2</v>
      </c>
      <c r="H12" s="7" cm="1">
        <f t="array" aca="1" ref="H12" ca="1">_FV(Table9[[#This Row],[Stocks]],"52 week high",TRUE)</f>
        <v>315</v>
      </c>
      <c r="I12" s="7" cm="1">
        <f t="array" aca="1" ref="I12" ca="1">_FV(Table9[[#This Row],[Stocks]],"52 week low",TRUE)</f>
        <v>2.2999999999999998</v>
      </c>
      <c r="J12" s="9" cm="1">
        <f t="array" aca="1" ref="J12" ca="1">_FV(Table9[[#This Row],[Stocks]],"Volume")</f>
        <v>237760</v>
      </c>
      <c r="K12" s="9" cm="1">
        <f t="array" aca="1" ref="K12" ca="1">_FV(Table9[[#This Row],[Stocks]],"Volume average",TRUE)</f>
        <v>11746962</v>
      </c>
      <c r="L12" s="9" cm="1">
        <f t="array" aca="1" ref="L12" ca="1">_FV(Table9[[#This Row],[Stocks]],"Shares outstanding",TRUE)</f>
        <v>1301610</v>
      </c>
      <c r="M12" s="38" cm="1">
        <f t="array" aca="1" ref="M12" ca="1">_FV(Table9[[#This Row],[Stocks]],"P/E",TRUE)</f>
        <v>0</v>
      </c>
      <c r="N12" s="6" cm="1">
        <f t="array" aca="1" ref="N12" ca="1">_FV(Table9[[#This Row],[Stocks]],"Year incorporated",TRUE)</f>
        <v>2023</v>
      </c>
      <c r="O12" s="7" t="str" cm="1">
        <f t="array" aca="1" ref="O12" ca="1">_FV(Table9[[#This Row],[Stocks]],"Exchange")</f>
        <v>Nasdaq Stock Market</v>
      </c>
      <c r="P12" s="7" t="str" cm="1">
        <f t="array" aca="1" ref="P12" ca="1">_FV(Table9[[#This Row],[Stocks]],"Headquarters")</f>
        <v>10845 Griffith Peak Dr., Suite 200, LAS VEGAS, NV, 89135 US</v>
      </c>
      <c r="Q12" t="s">
        <v>114</v>
      </c>
    </row>
    <row r="13" spans="1:17" x14ac:dyDescent="0.3">
      <c r="A13" t="e" vm="16">
        <v>#VALUE!</v>
      </c>
      <c r="B13" s="14" t="str" cm="1">
        <f t="array" aca="1" ref="B13" ca="1">_FV(Table9[[#This Row],[Stocks]],"Ticker symbol",TRUE)</f>
        <v>BNAI</v>
      </c>
      <c r="C13" t="str" cm="1">
        <f t="array" aca="1" ref="C13" ca="1">_FV(Table9[[#This Row],[Stocks]],"Industry")</f>
        <v>Software &amp; IT Services</v>
      </c>
      <c r="D13" s="3" cm="1">
        <f t="array" aca="1" ref="D13" ca="1">_FV(Table9[[#This Row],[Stocks]],"Market cap",TRUE)</f>
        <v>13617501</v>
      </c>
      <c r="E13" s="7" cm="1">
        <f t="array" aca="1" ref="E13" ca="1">_FV(Table9[[#This Row],[Stocks]],"Price")</f>
        <v>0.35899999999999999</v>
      </c>
      <c r="F13" s="10" cm="1">
        <f t="array" aca="1" ref="F13" ca="1">_FV(Table9[[#This Row],[Stocks]],"Change (%)",TRUE)</f>
        <v>-1.1019000000000001E-2</v>
      </c>
      <c r="G13" s="10" cm="1">
        <f t="array" aca="1" ref="G13" ca="1">_FV(Table9[[#This Row],[Stocks]],"Change % (Extended hours)",TRUE)</f>
        <v>-4.9861000000000003E-2</v>
      </c>
      <c r="H13" s="7" cm="1">
        <f t="array" aca="1" ref="H13" ca="1">_FV(Table9[[#This Row],[Stocks]],"52 week high",TRUE)</f>
        <v>19.75</v>
      </c>
      <c r="I13" s="7" cm="1">
        <f t="array" aca="1" ref="I13" ca="1">_FV(Table9[[#This Row],[Stocks]],"52 week low",TRUE)</f>
        <v>0.30299999999999999</v>
      </c>
      <c r="J13" s="9" cm="1">
        <f t="array" aca="1" ref="J13" ca="1">_FV(Table9[[#This Row],[Stocks]],"Volume")</f>
        <v>482275</v>
      </c>
      <c r="K13" s="9" cm="1">
        <f t="array" aca="1" ref="K13" ca="1">_FV(Table9[[#This Row],[Stocks]],"Volume average",TRUE)</f>
        <v>10027164</v>
      </c>
      <c r="L13" s="9" cm="1">
        <f t="array" aca="1" ref="L13" ca="1">_FV(Table9[[#This Row],[Stocks]],"Shares outstanding",TRUE)</f>
        <v>37931760</v>
      </c>
      <c r="M13" s="38" cm="1">
        <f t="array" aca="1" ref="M13" ca="1">_FV(Table9[[#This Row],[Stocks]],"P/E",TRUE)</f>
        <v>0</v>
      </c>
      <c r="N13" s="6" cm="1">
        <f t="array" aca="1" ref="N13" ca="1">_FV(Table9[[#This Row],[Stocks]],"Year incorporated",TRUE)</f>
        <v>2024</v>
      </c>
      <c r="O13" s="7" t="str" cm="1">
        <f t="array" aca="1" ref="O13" ca="1">_FV(Table9[[#This Row],[Stocks]],"Exchange")</f>
        <v>Nasdaq Stock Market</v>
      </c>
      <c r="P13" s="7" t="str" cm="1">
        <f t="array" aca="1" ref="P13" ca="1">_FV(Table9[[#This Row],[Stocks]],"Headquarters")</f>
        <v>145 E. Snow King Ave, Po Box 1045, JACKSON, WY, 83001 US</v>
      </c>
      <c r="Q13" s="7" t="s">
        <v>114</v>
      </c>
    </row>
    <row r="14" spans="1:17" x14ac:dyDescent="0.3">
      <c r="A14" t="e" vm="17">
        <v>#VALUE!</v>
      </c>
      <c r="B14" s="14" t="str" cm="1">
        <f t="array" aca="1" ref="B14" ca="1">_FV(Table9[[#This Row],[Stocks]],"Ticker symbol",TRUE)</f>
        <v>EXOD</v>
      </c>
      <c r="C14" t="str" cm="1">
        <f t="array" aca="1" ref="C14" ca="1">_FV(Table9[[#This Row],[Stocks]],"Industry")</f>
        <v>Software &amp; IT Services</v>
      </c>
      <c r="D14" s="3" cm="1">
        <f t="array" aca="1" ref="D14" ca="1">_FV(Table9[[#This Row],[Stocks]],"Market cap",TRUE)</f>
        <v>840799300</v>
      </c>
      <c r="E14" s="7" cm="1">
        <f t="array" aca="1" ref="E14" ca="1">_FV(Table9[[#This Row],[Stocks]],"Price")</f>
        <v>29.4</v>
      </c>
      <c r="F14" s="10" cm="1">
        <f t="array" aca="1" ref="F14" ca="1">_FV(Table9[[#This Row],[Stocks]],"Change (%)",TRUE)</f>
        <v>3.4129999999999998E-3</v>
      </c>
      <c r="G14" s="10" cm="1">
        <f t="array" aca="1" ref="G14" ca="1">_FV(Table9[[#This Row],[Stocks]],"Change % (Extended hours)",TRUE)</f>
        <v>2.1190000000000002E-3</v>
      </c>
      <c r="H14" s="7" cm="1">
        <f t="array" aca="1" ref="H14" ca="1">_FV(Table9[[#This Row],[Stocks]],"52 week high",TRUE)</f>
        <v>117.3985</v>
      </c>
      <c r="I14" s="7" cm="1">
        <f t="array" aca="1" ref="I14" ca="1">_FV(Table9[[#This Row],[Stocks]],"52 week low",TRUE)</f>
        <v>6.25</v>
      </c>
      <c r="J14" s="9" cm="1">
        <f t="array" aca="1" ref="J14" ca="1">_FV(Table9[[#This Row],[Stocks]],"Volume")</f>
        <v>70586</v>
      </c>
      <c r="K14" s="9" cm="1">
        <f t="array" aca="1" ref="K14" ca="1">_FV(Table9[[#This Row],[Stocks]],"Volume average",TRUE)</f>
        <v>71637</v>
      </c>
      <c r="L14" s="9" cm="1">
        <f t="array" aca="1" ref="L14" ca="1">_FV(Table9[[#This Row],[Stocks]],"Shares outstanding",TRUE)</f>
        <v>28598610</v>
      </c>
      <c r="M14" s="38" t="e" cm="1" vm="5">
        <f t="array" ref="M14">_FV(Table9[[#This Row],[Stocks]],"P/E",TRUE)</f>
        <v>#VALUE!</v>
      </c>
      <c r="N14" s="6" cm="1">
        <f t="array" aca="1" ref="N14" ca="1">_FV(Table9[[#This Row],[Stocks]],"Year incorporated",TRUE)</f>
        <v>2016</v>
      </c>
      <c r="O14" s="7" t="str" cm="1">
        <f t="array" aca="1" ref="O14" ca="1">_FV(Table9[[#This Row],[Stocks]],"Exchange")</f>
        <v>New York Stock Exchange</v>
      </c>
      <c r="P14" s="7" t="str" cm="1">
        <f t="array" aca="1" ref="P14" ca="1">_FV(Table9[[#This Row],[Stocks]],"Headquarters")</f>
        <v>15418 Weir St., #333, OMAHA, NE, 68137 US</v>
      </c>
      <c r="Q14" s="7" t="s">
        <v>114</v>
      </c>
    </row>
    <row r="15" spans="1:17" x14ac:dyDescent="0.3">
      <c r="A15" t="e" vm="18">
        <v>#VALUE!</v>
      </c>
      <c r="B15" s="14" t="str" cm="1">
        <f t="array" aca="1" ref="B15" ca="1">_FV(Table9[[#This Row],[Stocks]],"Ticker symbol",TRUE)</f>
        <v>GROV</v>
      </c>
      <c r="C15" t="str" cm="1">
        <f t="array" aca="1" ref="C15" ca="1">_FV(Table9[[#This Row],[Stocks]],"Industry")</f>
        <v>Software &amp; IT Services</v>
      </c>
      <c r="D15" s="3" cm="1">
        <f t="array" aca="1" ref="D15" ca="1">_FV(Table9[[#This Row],[Stocks]],"Market cap",TRUE)</f>
        <v>64536810</v>
      </c>
      <c r="E15" s="7" cm="1">
        <f t="array" aca="1" ref="E15" ca="1">_FV(Table9[[#This Row],[Stocks]],"Price")</f>
        <v>1.64</v>
      </c>
      <c r="F15" s="10" cm="1">
        <f t="array" aca="1" ref="F15" ca="1">_FV(Table9[[#This Row],[Stocks]],"Change (%)",TRUE)</f>
        <v>1.2345999999999999E-2</v>
      </c>
      <c r="G15" s="10" cm="1">
        <f t="array" aca="1" ref="G15" ca="1">_FV(Table9[[#This Row],[Stocks]],"Change % (Extended hours)",TRUE)</f>
        <v>0</v>
      </c>
      <c r="H15" s="7" cm="1">
        <f t="array" aca="1" ref="H15" ca="1">_FV(Table9[[#This Row],[Stocks]],"52 week high",TRUE)</f>
        <v>2.2418</v>
      </c>
      <c r="I15" s="7" cm="1">
        <f t="array" aca="1" ref="I15" ca="1">_FV(Table9[[#This Row],[Stocks]],"52 week low",TRUE)</f>
        <v>1.1850000000000001</v>
      </c>
      <c r="J15" s="9" cm="1">
        <f t="array" aca="1" ref="J15" ca="1">_FV(Table9[[#This Row],[Stocks]],"Volume")</f>
        <v>51854</v>
      </c>
      <c r="K15" s="9" cm="1">
        <f t="array" aca="1" ref="K15" ca="1">_FV(Table9[[#This Row],[Stocks]],"Volume average",TRUE)</f>
        <v>110429</v>
      </c>
      <c r="L15" s="9" cm="1">
        <f t="array" aca="1" ref="L15" ca="1">_FV(Table9[[#This Row],[Stocks]],"Shares outstanding",TRUE)</f>
        <v>39351720</v>
      </c>
      <c r="M15" s="38" t="e" cm="1" vm="5">
        <f t="array" ref="M15">_FV(Table9[[#This Row],[Stocks]],"P/E",TRUE)</f>
        <v>#VALUE!</v>
      </c>
      <c r="N15" s="6" cm="1">
        <f t="array" aca="1" ref="N15" ca="1">_FV(Table9[[#This Row],[Stocks]],"Year incorporated",TRUE)</f>
        <v>2022</v>
      </c>
      <c r="O15" s="7" t="str" cm="1">
        <f t="array" aca="1" ref="O15" ca="1">_FV(Table9[[#This Row],[Stocks]],"Exchange")</f>
        <v>New York Stock Exchange</v>
      </c>
      <c r="P15" s="7" t="str" cm="1">
        <f t="array" aca="1" ref="P15" ca="1">_FV(Table9[[#This Row],[Stocks]],"Headquarters")</f>
        <v>1301 Sansome Street, SAN FRANCISCO, CA, 94111 US</v>
      </c>
      <c r="Q15" s="7" t="s">
        <v>114</v>
      </c>
    </row>
    <row r="16" spans="1:17" x14ac:dyDescent="0.3">
      <c r="A16" t="e" vm="19">
        <v>#VALUE!</v>
      </c>
      <c r="B16" s="14" t="str" cm="1">
        <f t="array" aca="1" ref="B16" ca="1">_FV(Table9[[#This Row],[Stocks]],"Ticker symbol",TRUE)</f>
        <v>SEDG</v>
      </c>
      <c r="C16" t="str" cm="1">
        <f t="array" aca="1" ref="C16" ca="1">_FV(Table9[[#This Row],[Stocks]],"Industry")</f>
        <v>Renewable Energy</v>
      </c>
      <c r="D16" s="3" cm="1">
        <f t="array" aca="1" ref="D16" ca="1">_FV(Table9[[#This Row],[Stocks]],"Market cap",TRUE)</f>
        <v>990485462</v>
      </c>
      <c r="E16" s="7" cm="1">
        <f t="array" aca="1" ref="E16" ca="1">_FV(Table9[[#This Row],[Stocks]],"Price")</f>
        <v>16.850000000000001</v>
      </c>
      <c r="F16" s="10" cm="1">
        <f t="array" aca="1" ref="F16" ca="1">_FV(Table9[[#This Row],[Stocks]],"Change (%)",TRUE)</f>
        <v>5.1810000000000002E-2</v>
      </c>
      <c r="G16" s="10" cm="1">
        <f t="array" aca="1" ref="G16" ca="1">_FV(Table9[[#This Row],[Stocks]],"Change % (Extended hours)",TRUE)</f>
        <v>2.967E-3</v>
      </c>
      <c r="H16" s="7" cm="1">
        <f t="array" aca="1" ref="H16" ca="1">_FV(Table9[[#This Row],[Stocks]],"52 week high",TRUE)</f>
        <v>78.405000000000001</v>
      </c>
      <c r="I16" s="7" cm="1">
        <f t="array" aca="1" ref="I16" ca="1">_FV(Table9[[#This Row],[Stocks]],"52 week low",TRUE)</f>
        <v>10.24</v>
      </c>
      <c r="J16" s="9" cm="1">
        <f t="array" aca="1" ref="J16" ca="1">_FV(Table9[[#This Row],[Stocks]],"Volume")</f>
        <v>4158665</v>
      </c>
      <c r="K16" s="9" cm="1">
        <f t="array" aca="1" ref="K16" ca="1">_FV(Table9[[#This Row],[Stocks]],"Volume average",TRUE)</f>
        <v>4903376</v>
      </c>
      <c r="L16" s="9" cm="1">
        <f t="array" aca="1" ref="L16" ca="1">_FV(Table9[[#This Row],[Stocks]],"Shares outstanding",TRUE)</f>
        <v>58782520</v>
      </c>
      <c r="M16" s="38" cm="1">
        <f t="array" aca="1" ref="M16" ca="1">_FV(Table9[[#This Row],[Stocks]],"P/E",TRUE)</f>
        <v>0</v>
      </c>
      <c r="N16" s="6" cm="1">
        <f t="array" aca="1" ref="N16" ca="1">_FV(Table9[[#This Row],[Stocks]],"Year incorporated",TRUE)</f>
        <v>2006</v>
      </c>
      <c r="O16" s="7" t="str" cm="1">
        <f t="array" aca="1" ref="O16" ca="1">_FV(Table9[[#This Row],[Stocks]],"Exchange")</f>
        <v>Nasdaq Stock Market</v>
      </c>
      <c r="P16" s="7" t="str" cm="1">
        <f t="array" aca="1" ref="P16" ca="1">_FV(Table9[[#This Row],[Stocks]],"Headquarters")</f>
        <v>1 HaMada St., POB 12001, HERZLIYA, 4672505 IL</v>
      </c>
      <c r="Q16" s="7" t="s">
        <v>113</v>
      </c>
    </row>
    <row r="17" spans="1:17" x14ac:dyDescent="0.3">
      <c r="A17" t="e" vm="20">
        <v>#VALUE!</v>
      </c>
      <c r="B17" s="14" t="str" cm="1">
        <f t="array" aca="1" ref="B17" ca="1">_FV(Table9[[#This Row],[Stocks]],"Ticker symbol",TRUE)</f>
        <v>GVH</v>
      </c>
      <c r="C17" t="str" cm="1">
        <f t="array" aca="1" ref="C17" ca="1">_FV(Table9[[#This Row],[Stocks]],"Industry")</f>
        <v>Freight &amp; Logistics Services</v>
      </c>
      <c r="D17" s="3" cm="1">
        <f t="array" aca="1" ref="D17" ca="1">_FV(Table9[[#This Row],[Stocks]],"Market cap",TRUE)</f>
        <v>10153160</v>
      </c>
      <c r="E17" s="7" cm="1">
        <f t="array" aca="1" ref="E17" ca="1">_FV(Table9[[#This Row],[Stocks]],"Price")</f>
        <v>0.68</v>
      </c>
      <c r="F17" s="10" cm="1">
        <f t="array" aca="1" ref="F17" ca="1">_FV(Table9[[#This Row],[Stocks]],"Change (%)",TRUE)</f>
        <v>-4.2253999999999993E-2</v>
      </c>
      <c r="G17" s="10" cm="1">
        <f t="array" aca="1" ref="G17" ca="1">_FV(Table9[[#This Row],[Stocks]],"Change % (Extended hours)",TRUE)</f>
        <v>1.0294000000000001E-2</v>
      </c>
      <c r="H17" s="7" cm="1">
        <f t="array" aca="1" ref="H17" ca="1">_FV(Table9[[#This Row],[Stocks]],"52 week high",TRUE)</f>
        <v>2.57</v>
      </c>
      <c r="I17" s="7" cm="1">
        <f t="array" aca="1" ref="I17" ca="1">_FV(Table9[[#This Row],[Stocks]],"52 week low",TRUE)</f>
        <v>0.47070000000000001</v>
      </c>
      <c r="J17" s="9" cm="1">
        <f t="array" aca="1" ref="J17" ca="1">_FV(Table9[[#This Row],[Stocks]],"Volume")</f>
        <v>7427</v>
      </c>
      <c r="K17" s="9" cm="1">
        <f t="array" aca="1" ref="K17" ca="1">_FV(Table9[[#This Row],[Stocks]],"Volume average",TRUE)</f>
        <v>38999</v>
      </c>
      <c r="L17" s="9" cm="1">
        <f t="array" aca="1" ref="L17" ca="1">_FV(Table9[[#This Row],[Stocks]],"Shares outstanding",TRUE)</f>
        <v>14931120</v>
      </c>
      <c r="M17" s="38" cm="1">
        <f t="array" aca="1" ref="M17" ca="1">_FV(Table9[[#This Row],[Stocks]],"P/E",TRUE)</f>
        <v>7.3913000000000002</v>
      </c>
      <c r="N17" s="6" cm="1">
        <f t="array" aca="1" ref="N17" ca="1">_FV(Table9[[#This Row],[Stocks]],"Year incorporated",TRUE)</f>
        <v>2023</v>
      </c>
      <c r="O17" s="7" t="str" cm="1">
        <f t="array" aca="1" ref="O17" ca="1">_FV(Table9[[#This Row],[Stocks]],"Exchange")</f>
        <v>Nasdaq Stock Market</v>
      </c>
      <c r="P17" s="7" t="str" cm="1">
        <f t="array" aca="1" ref="P17" ca="1">_FV(Table9[[#This Row],[Stocks]],"Headquarters")</f>
        <v>Office 1401, Level 14, 197 St Georges Tce, PERTH, WESTERN AUSTRALIA, 6000 AU</v>
      </c>
      <c r="Q17" s="7" t="s">
        <v>115</v>
      </c>
    </row>
    <row r="18" spans="1:17" x14ac:dyDescent="0.3">
      <c r="A18" t="e" vm="21">
        <v>#VALUE!</v>
      </c>
      <c r="B18" s="14" t="str" cm="1">
        <f t="array" aca="1" ref="B18" ca="1">_FV(Table9[[#This Row],[Stocks]],"Ticker symbol",TRUE)</f>
        <v>AIFF</v>
      </c>
      <c r="C18" t="str" cm="1">
        <f t="array" aca="1" ref="C18" ca="1">_FV(Table9[[#This Row],[Stocks]],"Industry")</f>
        <v>Software &amp; IT Services</v>
      </c>
      <c r="D18" s="3" cm="1">
        <f t="array" aca="1" ref="D18" ca="1">_FV(Table9[[#This Row],[Stocks]],"Market cap",TRUE)</f>
        <v>27094086</v>
      </c>
      <c r="E18" s="7" cm="1">
        <f t="array" aca="1" ref="E18" ca="1">_FV(Table9[[#This Row],[Stocks]],"Price")</f>
        <v>3.41</v>
      </c>
      <c r="F18" s="10" cm="1">
        <f t="array" aca="1" ref="F18" ca="1">_FV(Table9[[#This Row],[Stocks]],"Change (%)",TRUE)</f>
        <v>-0.12113400000000001</v>
      </c>
      <c r="G18" s="10" cm="1">
        <f t="array" aca="1" ref="G18" ca="1">_FV(Table9[[#This Row],[Stocks]],"Change % (Extended hours)",TRUE)</f>
        <v>1.7595E-2</v>
      </c>
      <c r="H18" s="7" cm="1">
        <f t="array" aca="1" ref="H18" ca="1">_FV(Table9[[#This Row],[Stocks]],"52 week high",TRUE)</f>
        <v>17.2</v>
      </c>
      <c r="I18" s="7" cm="1">
        <f t="array" aca="1" ref="I18" ca="1">_FV(Table9[[#This Row],[Stocks]],"52 week low",TRUE)</f>
        <v>1.86</v>
      </c>
      <c r="J18" s="9" cm="1">
        <f t="array" aca="1" ref="J18" ca="1">_FV(Table9[[#This Row],[Stocks]],"Volume")</f>
        <v>851448</v>
      </c>
      <c r="K18" s="9" cm="1">
        <f t="array" aca="1" ref="K18" ca="1">_FV(Table9[[#This Row],[Stocks]],"Volume average",TRUE)</f>
        <v>14950602</v>
      </c>
      <c r="L18" s="9" cm="1">
        <f t="array" aca="1" ref="L18" ca="1">_FV(Table9[[#This Row],[Stocks]],"Shares outstanding",TRUE)</f>
        <v>7945480</v>
      </c>
      <c r="M18" s="38" cm="1">
        <f t="array" aca="1" ref="M18" ca="1">_FV(Table9[[#This Row],[Stocks]],"P/E",TRUE)</f>
        <v>0</v>
      </c>
      <c r="N18" s="6" cm="1">
        <f t="array" aca="1" ref="N18" ca="1">_FV(Table9[[#This Row],[Stocks]],"Year incorporated",TRUE)</f>
        <v>2021</v>
      </c>
      <c r="O18" s="7" t="str" cm="1">
        <f t="array" aca="1" ref="O18" ca="1">_FV(Table9[[#This Row],[Stocks]],"Exchange")</f>
        <v>Nasdaq Stock Market</v>
      </c>
      <c r="P18" s="7" t="str" cm="1">
        <f t="array" aca="1" ref="P18" ca="1">_FV(Table9[[#This Row],[Stocks]],"Headquarters")</f>
        <v>1100 Military Road, KENMORE, NY, 14217 US</v>
      </c>
      <c r="Q18" s="7" t="s">
        <v>114</v>
      </c>
    </row>
    <row r="19" spans="1:17" x14ac:dyDescent="0.3">
      <c r="A19" t="e" vm="22">
        <v>#VALUE!</v>
      </c>
      <c r="B19" s="14" t="str" cm="1">
        <f t="array" aca="1" ref="B19" ca="1">_FV(Table9[[#This Row],[Stocks]],"Ticker symbol",TRUE)</f>
        <v>BKKT</v>
      </c>
      <c r="C19" t="str" cm="1">
        <f t="array" aca="1" ref="C19" ca="1">_FV(Table9[[#This Row],[Stocks]],"Industry")</f>
        <v>Financial Technology (Fintech) &amp; Infrastructure</v>
      </c>
      <c r="D19" s="3" cm="1">
        <f t="array" aca="1" ref="D19" ca="1">_FV(Table9[[#This Row],[Stocks]],"Market cap",TRUE)</f>
        <v>193449300</v>
      </c>
      <c r="E19" s="7" cm="1">
        <f t="array" aca="1" ref="E19" ca="1">_FV(Table9[[#This Row],[Stocks]],"Price")</f>
        <v>14.1</v>
      </c>
      <c r="F19" s="10" cm="1">
        <f t="array" aca="1" ref="F19" ca="1">_FV(Table9[[#This Row],[Stocks]],"Change (%)",TRUE)</f>
        <v>-4.6007999999999993E-2</v>
      </c>
      <c r="G19" s="10" cm="1">
        <f t="array" aca="1" ref="G19" ca="1">_FV(Table9[[#This Row],[Stocks]],"Change % (Extended hours)",TRUE)</f>
        <v>-7.0670000000000003E-6</v>
      </c>
      <c r="H19" s="7" cm="1">
        <f t="array" aca="1" ref="H19" ca="1">_FV(Table9[[#This Row],[Stocks]],"52 week high",TRUE)</f>
        <v>37.21</v>
      </c>
      <c r="I19" s="7" cm="1">
        <f t="array" aca="1" ref="I19" ca="1">_FV(Table9[[#This Row],[Stocks]],"52 week low",TRUE)</f>
        <v>5.5731999999999999</v>
      </c>
      <c r="J19" s="9" cm="1">
        <f t="array" aca="1" ref="J19" ca="1">_FV(Table9[[#This Row],[Stocks]],"Volume")</f>
        <v>350905</v>
      </c>
      <c r="K19" s="9" cm="1">
        <f t="array" aca="1" ref="K19" ca="1">_FV(Table9[[#This Row],[Stocks]],"Volume average",TRUE)</f>
        <v>407817</v>
      </c>
      <c r="L19" s="9" cm="1">
        <f t="array" aca="1" ref="L19" ca="1">_FV(Table9[[#This Row],[Stocks]],"Shares outstanding",TRUE)</f>
        <v>13671330</v>
      </c>
      <c r="M19" s="38" t="e" cm="1" vm="5">
        <f t="array" ref="M19">_FV(Table9[[#This Row],[Stocks]],"P/E",TRUE)</f>
        <v>#VALUE!</v>
      </c>
      <c r="N19" s="6" cm="1">
        <f t="array" aca="1" ref="N19" ca="1">_FV(Table9[[#This Row],[Stocks]],"Year incorporated",TRUE)</f>
        <v>2021</v>
      </c>
      <c r="O19" s="7" t="str" cm="1">
        <f t="array" aca="1" ref="O19" ca="1">_FV(Table9[[#This Row],[Stocks]],"Exchange")</f>
        <v>New York Stock Exchange</v>
      </c>
      <c r="P19" s="7" t="str" cm="1">
        <f t="array" aca="1" ref="P19" ca="1">_FV(Table9[[#This Row],[Stocks]],"Headquarters")</f>
        <v>10000 Avalon Boulevard, Suite 1000, ALPHARETTA, GA, 30009 US</v>
      </c>
      <c r="Q19" s="7" t="s">
        <v>114</v>
      </c>
    </row>
    <row r="20" spans="1:17" x14ac:dyDescent="0.3">
      <c r="A20" t="e" vm="23">
        <v>#VALUE!</v>
      </c>
      <c r="B20" s="14" t="str" cm="1">
        <f t="array" aca="1" ref="B20" ca="1">_FV(Table9[[#This Row],[Stocks]],"Ticker symbol",TRUE)</f>
        <v>CELH</v>
      </c>
      <c r="C20" t="str" cm="1">
        <f t="array" aca="1" ref="C20" ca="1">_FV(Table9[[#This Row],[Stocks]],"Industry")</f>
        <v>Beverages</v>
      </c>
      <c r="D20" s="3" cm="1">
        <f t="array" aca="1" ref="D20" ca="1">_FV(Table9[[#This Row],[Stocks]],"Market cap",TRUE)</f>
        <v>6440204000</v>
      </c>
      <c r="E20" s="7" cm="1">
        <f t="array" aca="1" ref="E20" ca="1">_FV(Table9[[#This Row],[Stocks]],"Price")</f>
        <v>27.39</v>
      </c>
      <c r="F20" s="10" cm="1">
        <f t="array" aca="1" ref="F20" ca="1">_FV(Table9[[#This Row],[Stocks]],"Change (%)",TRUE)</f>
        <v>7.7497999999999997E-2</v>
      </c>
      <c r="G20" s="10" cm="1">
        <f t="array" aca="1" ref="G20" ca="1">_FV(Table9[[#This Row],[Stocks]],"Change % (Extended hours)",TRUE)</f>
        <v>-1.825E-3</v>
      </c>
      <c r="H20" s="7" cm="1">
        <f t="array" aca="1" ref="H20" ca="1">_FV(Table9[[#This Row],[Stocks]],"52 week high",TRUE)</f>
        <v>99.619900000000001</v>
      </c>
      <c r="I20" s="7" cm="1">
        <f t="array" aca="1" ref="I20" ca="1">_FV(Table9[[#This Row],[Stocks]],"52 week low",TRUE)</f>
        <v>21.1</v>
      </c>
      <c r="J20" s="9" cm="1">
        <f t="array" aca="1" ref="J20" ca="1">_FV(Table9[[#This Row],[Stocks]],"Volume")</f>
        <v>7847470</v>
      </c>
      <c r="K20" s="9" cm="1">
        <f t="array" aca="1" ref="K20" ca="1">_FV(Table9[[#This Row],[Stocks]],"Volume average",TRUE)</f>
        <v>13199092</v>
      </c>
      <c r="L20" s="9" cm="1">
        <f t="array" aca="1" ref="L20" ca="1">_FV(Table9[[#This Row],[Stocks]],"Shares outstanding",TRUE)</f>
        <v>235129700</v>
      </c>
      <c r="M20" s="38" cm="1">
        <f t="array" aca="1" ref="M20" ca="1">_FV(Table9[[#This Row],[Stocks]],"P/E",TRUE)</f>
        <v>61.138399999999997</v>
      </c>
      <c r="N20" s="6" cm="1">
        <f t="array" aca="1" ref="N20" ca="1">_FV(Table9[[#This Row],[Stocks]],"Year incorporated",TRUE)</f>
        <v>2005</v>
      </c>
      <c r="O20" s="7" t="str" cm="1">
        <f t="array" aca="1" ref="O20" ca="1">_FV(Table9[[#This Row],[Stocks]],"Exchange")</f>
        <v>Nasdaq Stock Market</v>
      </c>
      <c r="P20" s="7" t="str" cm="1">
        <f t="array" aca="1" ref="P20" ca="1">_FV(Table9[[#This Row],[Stocks]],"Headquarters")</f>
        <v>2424 N. Federal Hwy, Suite 208, BOCA RATON, FL, 33431 US</v>
      </c>
      <c r="Q20" s="7" t="s">
        <v>114</v>
      </c>
    </row>
    <row r="21" spans="1:17" x14ac:dyDescent="0.3">
      <c r="A21" t="e" vm="24">
        <v>#VALUE!</v>
      </c>
      <c r="B21" s="14" t="str" cm="1">
        <f t="array" aca="1" ref="B21" ca="1">_FV(Table9[[#This Row],[Stocks]],"Ticker symbol",TRUE)</f>
        <v>BHAT</v>
      </c>
      <c r="C21" t="str" cm="1">
        <f t="array" aca="1" ref="C21" ca="1">_FV(Table9[[#This Row],[Stocks]],"Industry")</f>
        <v>Leisure Products</v>
      </c>
      <c r="D21" s="3" cm="1">
        <f t="array" aca="1" ref="D21" ca="1">_FV(Table9[[#This Row],[Stocks]],"Market cap",TRUE)</f>
        <v>18370141</v>
      </c>
      <c r="E21" s="7" cm="1">
        <f t="array" aca="1" ref="E21" ca="1">_FV(Table9[[#This Row],[Stocks]],"Price")</f>
        <v>3.7199999999999997E-2</v>
      </c>
      <c r="F21" s="10" cm="1">
        <f t="array" aca="1" ref="F21" ca="1">_FV(Table9[[#This Row],[Stocks]],"Change (%)",TRUE)</f>
        <v>1.9178000000000001E-2</v>
      </c>
      <c r="G21" s="10" cm="1">
        <f t="array" aca="1" ref="G21" ca="1">_FV(Table9[[#This Row],[Stocks]],"Change % (Extended hours)",TRUE)</f>
        <v>-5.3490000000000005E-3</v>
      </c>
      <c r="H21" s="7" cm="1">
        <f t="array" aca="1" ref="H21" ca="1">_FV(Table9[[#This Row],[Stocks]],"52 week high",TRUE)</f>
        <v>1.45</v>
      </c>
      <c r="I21" s="7" cm="1">
        <f t="array" aca="1" ref="I21" ca="1">_FV(Table9[[#This Row],[Stocks]],"52 week low",TRUE)</f>
        <v>3.1600000000000003E-2</v>
      </c>
      <c r="J21" s="9" cm="1">
        <f t="array" aca="1" ref="J21" ca="1">_FV(Table9[[#This Row],[Stocks]],"Volume")</f>
        <v>18300564</v>
      </c>
      <c r="K21" s="9" cm="1">
        <f t="array" aca="1" ref="K21" ca="1">_FV(Table9[[#This Row],[Stocks]],"Volume average",TRUE)</f>
        <v>167605515</v>
      </c>
      <c r="L21" s="9" cm="1">
        <f t="array" aca="1" ref="L21" ca="1">_FV(Table9[[#This Row],[Stocks]],"Shares outstanding",TRUE)</f>
        <v>493821000</v>
      </c>
      <c r="M21" s="38" cm="1">
        <f t="array" aca="1" ref="M21" ca="1">_FV(Table9[[#This Row],[Stocks]],"P/E",TRUE)</f>
        <v>0</v>
      </c>
      <c r="N21" s="6" cm="1">
        <f t="array" aca="1" ref="N21" ca="1">_FV(Table9[[#This Row],[Stocks]],"Year incorporated",TRUE)</f>
        <v>2018</v>
      </c>
      <c r="O21" s="7" t="str" cm="1">
        <f t="array" aca="1" ref="O21" ca="1">_FV(Table9[[#This Row],[Stocks]],"Exchange")</f>
        <v>Nasdaq Stock Market</v>
      </c>
      <c r="P21" s="7" t="str" cm="1">
        <f t="array" aca="1" ref="P21" ca="1">_FV(Table9[[#This Row],[Stocks]],"Headquarters")</f>
        <v>7Th Floor, Building C, No. 1010,, Anling Road, XIAMEN, FUJIAN CN</v>
      </c>
      <c r="Q21" s="7" t="s">
        <v>116</v>
      </c>
    </row>
    <row r="22" spans="1:17" x14ac:dyDescent="0.3">
      <c r="A22" t="e" vm="25">
        <v>#VALUE!</v>
      </c>
      <c r="B22" s="14" t="str" cm="1">
        <f t="array" aca="1" ref="B22" ca="1">_FV(Table9[[#This Row],[Stocks]],"Ticker symbol",TRUE)</f>
        <v>GNW</v>
      </c>
      <c r="C22" t="str" cm="1">
        <f t="array" aca="1" ref="C22" ca="1">_FV(Table9[[#This Row],[Stocks]],"Industry")</f>
        <v>Insurance</v>
      </c>
      <c r="D22" s="3" cm="1">
        <f t="array" aca="1" ref="D22" ca="1">_FV(Table9[[#This Row],[Stocks]],"Market cap",TRUE)</f>
        <v>2789543000</v>
      </c>
      <c r="E22" s="7" cm="1">
        <f t="array" aca="1" ref="E22" ca="1">_FV(Table9[[#This Row],[Stocks]],"Price")</f>
        <v>6.6550000000000002</v>
      </c>
      <c r="F22" s="10" cm="1">
        <f t="array" aca="1" ref="F22" ca="1">_FV(Table9[[#This Row],[Stocks]],"Change (%)",TRUE)</f>
        <v>2.2589999999999997E-3</v>
      </c>
      <c r="G22" s="10" cm="1">
        <f t="array" aca="1" ref="G22" ca="1">_FV(Table9[[#This Row],[Stocks]],"Change % (Extended hours)",TRUE)</f>
        <v>-7.5079999999999999E-3</v>
      </c>
      <c r="H22" s="7" cm="1">
        <f t="array" aca="1" ref="H22" ca="1">_FV(Table9[[#This Row],[Stocks]],"52 week high",TRUE)</f>
        <v>7.9</v>
      </c>
      <c r="I22" s="7" cm="1">
        <f t="array" aca="1" ref="I22" ca="1">_FV(Table9[[#This Row],[Stocks]],"52 week low",TRUE)</f>
        <v>5.67</v>
      </c>
      <c r="J22" s="9" cm="1">
        <f t="array" aca="1" ref="J22" ca="1">_FV(Table9[[#This Row],[Stocks]],"Volume")</f>
        <v>6266842</v>
      </c>
      <c r="K22" s="9" cm="1">
        <f t="array" aca="1" ref="K22" ca="1">_FV(Table9[[#This Row],[Stocks]],"Volume average",TRUE)</f>
        <v>5038786</v>
      </c>
      <c r="L22" s="9" cm="1">
        <f t="array" aca="1" ref="L22" ca="1">_FV(Table9[[#This Row],[Stocks]],"Shares outstanding",TRUE)</f>
        <v>418850300</v>
      </c>
      <c r="M22" s="38" cm="1">
        <f t="array" aca="1" ref="M22" ca="1">_FV(Table9[[#This Row],[Stocks]],"P/E",TRUE)</f>
        <v>9.5480999999999998</v>
      </c>
      <c r="N22" s="6" cm="1">
        <f t="array" aca="1" ref="N22" ca="1">_FV(Table9[[#This Row],[Stocks]],"Year incorporated",TRUE)</f>
        <v>2012</v>
      </c>
      <c r="O22" s="7" t="str" cm="1">
        <f t="array" aca="1" ref="O22" ca="1">_FV(Table9[[#This Row],[Stocks]],"Exchange")</f>
        <v>New York Stock Exchange</v>
      </c>
      <c r="P22" s="7" t="str" cm="1">
        <f t="array" aca="1" ref="P22" ca="1">_FV(Table9[[#This Row],[Stocks]],"Headquarters")</f>
        <v>11011 WEST BROAD STREET, GLEN ALLEN, VA, 23060 US</v>
      </c>
    </row>
    <row r="23" spans="1:17" x14ac:dyDescent="0.3">
      <c r="A23" t="e" vm="26">
        <v>#VALUE!</v>
      </c>
      <c r="B23" s="14" t="str" cm="1">
        <f t="array" aca="1" ref="B23" ca="1">_FV(Table9[[#This Row],[Stocks]],"Ticker symbol",TRUE)</f>
        <v>SG</v>
      </c>
      <c r="C23" t="str" cm="1">
        <f t="array" aca="1" ref="C23" ca="1">_FV(Table9[[#This Row],[Stocks]],"Industry")</f>
        <v>Hotels &amp; Entertainment Services</v>
      </c>
      <c r="D23" s="3" cm="1">
        <f t="array" aca="1" ref="D23" ca="1">_FV(Table9[[#This Row],[Stocks]],"Market cap",TRUE)</f>
        <v>2808239000</v>
      </c>
      <c r="E23" s="7" cm="1">
        <f t="array" aca="1" ref="E23" ca="1">_FV(Table9[[#This Row],[Stocks]],"Price")</f>
        <v>23.93</v>
      </c>
      <c r="F23" s="10" cm="1">
        <f t="array" aca="1" ref="F23" ca="1">_FV(Table9[[#This Row],[Stocks]],"Change (%)",TRUE)</f>
        <v>1.6567999999999999E-2</v>
      </c>
      <c r="G23" s="10" cm="1">
        <f t="array" aca="1" ref="G23" ca="1">_FV(Table9[[#This Row],[Stocks]],"Change % (Extended hours)",TRUE)</f>
        <v>1.2948999999999999E-2</v>
      </c>
      <c r="H23" s="7" cm="1">
        <f t="array" aca="1" ref="H23" ca="1">_FV(Table9[[#This Row],[Stocks]],"52 week high",TRUE)</f>
        <v>45.12</v>
      </c>
      <c r="I23" s="7" cm="1">
        <f t="array" aca="1" ref="I23" ca="1">_FV(Table9[[#This Row],[Stocks]],"52 week low",TRUE)</f>
        <v>18.440000000000001</v>
      </c>
      <c r="J23" s="9" cm="1">
        <f t="array" aca="1" ref="J23" ca="1">_FV(Table9[[#This Row],[Stocks]],"Volume")</f>
        <v>5905515</v>
      </c>
      <c r="K23" s="9" cm="1">
        <f t="array" aca="1" ref="K23" ca="1">_FV(Table9[[#This Row],[Stocks]],"Volume average",TRUE)</f>
        <v>4413631</v>
      </c>
      <c r="L23" s="9" cm="1">
        <f t="array" aca="1" ref="L23" ca="1">_FV(Table9[[#This Row],[Stocks]],"Shares outstanding",TRUE)</f>
        <v>117303200</v>
      </c>
      <c r="M23" s="38" t="e" cm="1" vm="5">
        <f t="array" ref="M23">_FV(Table9[[#This Row],[Stocks]],"P/E",TRUE)</f>
        <v>#VALUE!</v>
      </c>
      <c r="N23" s="6" cm="1">
        <f t="array" aca="1" ref="N23" ca="1">_FV(Table9[[#This Row],[Stocks]],"Year incorporated",TRUE)</f>
        <v>2007</v>
      </c>
      <c r="O23" s="7" t="str" cm="1">
        <f t="array" aca="1" ref="O23" ca="1">_FV(Table9[[#This Row],[Stocks]],"Exchange")</f>
        <v>New York Stock Exchange</v>
      </c>
      <c r="P23" s="7" t="str" cm="1">
        <f t="array" aca="1" ref="P23" ca="1">_FV(Table9[[#This Row],[Stocks]],"Headquarters")</f>
        <v>3101 W. Exposition Boulevard, LOS ANGELES, CA, 90018 US</v>
      </c>
      <c r="Q23" s="7" t="s">
        <v>114</v>
      </c>
    </row>
    <row r="24" spans="1:17" x14ac:dyDescent="0.3">
      <c r="A24" t="e" vm="27">
        <v>#VALUE!</v>
      </c>
      <c r="B24" s="14" t="str" cm="1">
        <f t="array" aca="1" ref="B24" ca="1">_FV(Table9[[#This Row],[Stocks]],"Ticker symbol",TRUE)</f>
        <v>SPOT</v>
      </c>
      <c r="C24" t="str" cm="1">
        <f t="array" aca="1" ref="C24" ca="1">_FV(Table9[[#This Row],[Stocks]],"Industry")</f>
        <v>Software &amp; IT Services</v>
      </c>
      <c r="D24" s="3" cm="1">
        <f t="array" aca="1" ref="D24" ca="1">_FV(Table9[[#This Row],[Stocks]],"Market cap",TRUE)</f>
        <v>108924600000</v>
      </c>
      <c r="E24" s="7" cm="1">
        <f t="array" aca="1" ref="E24" ca="1">_FV(Table9[[#This Row],[Stocks]],"Price")</f>
        <v>531.71</v>
      </c>
      <c r="F24" s="10" cm="1">
        <f t="array" aca="1" ref="F24" ca="1">_FV(Table9[[#This Row],[Stocks]],"Change (%)",TRUE)</f>
        <v>-2.1530999999999998E-2</v>
      </c>
      <c r="G24" s="10" cm="1">
        <f t="array" aca="1" ref="G24" ca="1">_FV(Table9[[#This Row],[Stocks]],"Change % (Extended hours)",TRUE)</f>
        <v>-8.7770000000000001E-3</v>
      </c>
      <c r="H24" s="7" cm="1">
        <f t="array" aca="1" ref="H24" ca="1">_FV(Table9[[#This Row],[Stocks]],"52 week high",TRUE)</f>
        <v>652.62789999999995</v>
      </c>
      <c r="I24" s="7" cm="1">
        <f t="array" aca="1" ref="I24" ca="1">_FV(Table9[[#This Row],[Stocks]],"52 week low",TRUE)</f>
        <v>249.58</v>
      </c>
      <c r="J24" s="9" cm="1">
        <f t="array" aca="1" ref="J24" ca="1">_FV(Table9[[#This Row],[Stocks]],"Volume")</f>
        <v>3827023</v>
      </c>
      <c r="K24" s="9" cm="1">
        <f t="array" aca="1" ref="K24" ca="1">_FV(Table9[[#This Row],[Stocks]],"Volume average",TRUE)</f>
        <v>2445067</v>
      </c>
      <c r="L24" s="9" cm="1">
        <f t="array" aca="1" ref="L24" ca="1">_FV(Table9[[#This Row],[Stocks]],"Shares outstanding",TRUE)</f>
        <v>204707100</v>
      </c>
      <c r="M24" s="38" cm="1">
        <f t="array" aca="1" ref="M24" ca="1">_FV(Table9[[#This Row],[Stocks]],"P/E",TRUE)</f>
        <v>93.525300000000001</v>
      </c>
      <c r="N24" s="6" cm="1">
        <f t="array" aca="1" ref="N24" ca="1">_FV(Table9[[#This Row],[Stocks]],"Year incorporated",TRUE)</f>
        <v>2007</v>
      </c>
      <c r="O24" s="7" t="str" cm="1">
        <f t="array" aca="1" ref="O24" ca="1">_FV(Table9[[#This Row],[Stocks]],"Exchange")</f>
        <v>New York Stock Exchange</v>
      </c>
      <c r="P24" s="7" t="str" cm="1">
        <f t="array" aca="1" ref="P24" ca="1">_FV(Table9[[#This Row],[Stocks]],"Headquarters")</f>
        <v>5 Place De La Gare, LUXEMBOURG, 1616 LU</v>
      </c>
    </row>
    <row r="25" spans="1:17" x14ac:dyDescent="0.3">
      <c r="A25" t="e" vm="28">
        <v>#VALUE!</v>
      </c>
      <c r="B25" s="14" t="str" cm="1">
        <f t="array" aca="1" ref="B25" ca="1">_FV(Table9[[#This Row],[Stocks]],"Ticker symbol",TRUE)</f>
        <v>TSSI</v>
      </c>
      <c r="C25" t="str" cm="1">
        <f t="array" aca="1" ref="C25" ca="1">_FV(Table9[[#This Row],[Stocks]],"Industry")</f>
        <v>Professional &amp; Commercial Services</v>
      </c>
      <c r="D25" s="3" cm="1">
        <f t="array" aca="1" ref="D25" ca="1">_FV(Table9[[#This Row],[Stocks]],"Market cap",TRUE)</f>
        <v>213490400</v>
      </c>
      <c r="E25" s="7" cm="1">
        <f t="array" aca="1" ref="E25" ca="1">_FV(Table9[[#This Row],[Stocks]],"Price")</f>
        <v>9.5</v>
      </c>
      <c r="F25" s="10" cm="1">
        <f t="array" aca="1" ref="F25" ca="1">_FV(Table9[[#This Row],[Stocks]],"Change (%)",TRUE)</f>
        <v>8.0774000000000012E-2</v>
      </c>
      <c r="G25" s="10" cm="1">
        <f t="array" aca="1" ref="G25" ca="1">_FV(Table9[[#This Row],[Stocks]],"Change % (Extended hours)",TRUE)</f>
        <v>-4.3158000000000002E-2</v>
      </c>
      <c r="H25" s="7" cm="1">
        <f t="array" aca="1" ref="H25" ca="1">_FV(Table9[[#This Row],[Stocks]],"52 week high",TRUE)</f>
        <v>18.260000000000002</v>
      </c>
      <c r="I25" s="7" cm="1">
        <f t="array" aca="1" ref="I25" ca="1">_FV(Table9[[#This Row],[Stocks]],"52 week low",TRUE)</f>
        <v>0.43020000000000003</v>
      </c>
      <c r="J25" s="9" cm="1">
        <f t="array" aca="1" ref="J25" ca="1">_FV(Table9[[#This Row],[Stocks]],"Volume")</f>
        <v>1114184</v>
      </c>
      <c r="K25" s="9" cm="1">
        <f t="array" aca="1" ref="K25" ca="1">_FV(Table9[[#This Row],[Stocks]],"Volume average",TRUE)</f>
        <v>1254406</v>
      </c>
      <c r="L25" s="9" cm="1">
        <f t="array" aca="1" ref="L25" ca="1">_FV(Table9[[#This Row],[Stocks]],"Shares outstanding",TRUE)</f>
        <v>22472680</v>
      </c>
      <c r="M25" s="38" cm="1">
        <f t="array" aca="1" ref="M25" ca="1">_FV(Table9[[#This Row],[Stocks]],"P/E",TRUE)</f>
        <v>47.523800000000001</v>
      </c>
      <c r="N25" s="6" cm="1">
        <f t="array" aca="1" ref="N25" ca="1">_FV(Table9[[#This Row],[Stocks]],"Year incorporated",TRUE)</f>
        <v>2004</v>
      </c>
      <c r="O25" s="7" t="str" cm="1">
        <f t="array" aca="1" ref="O25" ca="1">_FV(Table9[[#This Row],[Stocks]],"Exchange")</f>
        <v>Nasdaq Stock Market</v>
      </c>
      <c r="P25" s="7" t="str" cm="1">
        <f t="array" aca="1" ref="P25" ca="1">_FV(Table9[[#This Row],[Stocks]],"Headquarters")</f>
        <v>110 E Old Settlers Blvd Ste 100, ROUND ROCK, TX, 78664-2632 US</v>
      </c>
      <c r="Q25" s="7" t="s">
        <v>114</v>
      </c>
    </row>
    <row r="26" spans="1:17" x14ac:dyDescent="0.3">
      <c r="A26" t="e" vm="29">
        <v>#VALUE!</v>
      </c>
      <c r="B26" s="14" t="str" cm="1">
        <f t="array" aca="1" ref="B26" ca="1">_FV(Table9[[#This Row],[Stocks]],"Ticker symbol",TRUE)</f>
        <v>DLHC</v>
      </c>
      <c r="C26" t="str" cm="1">
        <f t="array" aca="1" ref="C26" ca="1">_FV(Table9[[#This Row],[Stocks]],"Industry")</f>
        <v>Software &amp; IT Services</v>
      </c>
      <c r="D26" s="3" cm="1">
        <f t="array" aca="1" ref="D26" ca="1">_FV(Table9[[#This Row],[Stocks]],"Market cap",TRUE)</f>
        <v>75097373</v>
      </c>
      <c r="E26" s="7" cm="1">
        <f t="array" aca="1" ref="E26" ca="1">_FV(Table9[[#This Row],[Stocks]],"Price")</f>
        <v>5.22</v>
      </c>
      <c r="F26" s="10" cm="1">
        <f t="array" aca="1" ref="F26" ca="1">_FV(Table9[[#This Row],[Stocks]],"Change (%)",TRUE)</f>
        <v>7.1869000000000002E-2</v>
      </c>
      <c r="G26" s="10" cm="1">
        <f t="array" aca="1" ref="G26" ca="1">_FV(Table9[[#This Row],[Stocks]],"Change % (Extended hours)",TRUE)</f>
        <v>0</v>
      </c>
      <c r="H26" s="7" cm="1">
        <f t="array" aca="1" ref="H26" ca="1">_FV(Table9[[#This Row],[Stocks]],"52 week high",TRUE)</f>
        <v>15.1</v>
      </c>
      <c r="I26" s="7" cm="1">
        <f t="array" aca="1" ref="I26" ca="1">_FV(Table9[[#This Row],[Stocks]],"52 week low",TRUE)</f>
        <v>4.7350000000000003</v>
      </c>
      <c r="J26" s="9" cm="1">
        <f t="array" aca="1" ref="J26" ca="1">_FV(Table9[[#This Row],[Stocks]],"Volume")</f>
        <v>43489</v>
      </c>
      <c r="K26" s="9" cm="1">
        <f t="array" aca="1" ref="K26" ca="1">_FV(Table9[[#This Row],[Stocks]],"Volume average",TRUE)</f>
        <v>54033</v>
      </c>
      <c r="L26" s="9" cm="1">
        <f t="array" aca="1" ref="L26" ca="1">_FV(Table9[[#This Row],[Stocks]],"Shares outstanding",TRUE)</f>
        <v>14386470</v>
      </c>
      <c r="M26" s="38" cm="1">
        <f t="array" aca="1" ref="M26" ca="1">_FV(Table9[[#This Row],[Stocks]],"P/E",TRUE)</f>
        <v>11.9162</v>
      </c>
      <c r="N26" s="6" cm="1">
        <f t="array" aca="1" ref="N26" ca="1">_FV(Table9[[#This Row],[Stocks]],"Year incorporated",TRUE)</f>
        <v>1969</v>
      </c>
      <c r="O26" s="7" t="str" cm="1">
        <f t="array" aca="1" ref="O26" ca="1">_FV(Table9[[#This Row],[Stocks]],"Exchange")</f>
        <v>Nasdaq Stock Market</v>
      </c>
      <c r="P26" s="7" t="str" cm="1">
        <f t="array" aca="1" ref="P26" ca="1">_FV(Table9[[#This Row],[Stocks]],"Headquarters")</f>
        <v>3565 Piedmont Road, Ne, Building 3, Suite 700, ATLANTA, GA, 30305 US</v>
      </c>
      <c r="Q26" s="7" t="s">
        <v>114</v>
      </c>
    </row>
    <row r="27" spans="1:17" x14ac:dyDescent="0.3">
      <c r="A27" t="e" vm="30">
        <v>#VALUE!</v>
      </c>
      <c r="B27" s="14" t="str" cm="1">
        <f t="array" aca="1" ref="B27" ca="1">_FV(Table9[[#This Row],[Stocks]],"Ticker symbol",TRUE)</f>
        <v>AISP</v>
      </c>
      <c r="C27" t="str" cm="1">
        <f t="array" aca="1" ref="C27" ca="1">_FV(Table9[[#This Row],[Stocks]],"Industry")</f>
        <v>Software &amp; IT Services</v>
      </c>
      <c r="D27" s="3" cm="1">
        <f t="array" aca="1" ref="D27" ca="1">_FV(Table9[[#This Row],[Stocks]],"Market cap",TRUE)</f>
        <v>110963900</v>
      </c>
      <c r="E27" s="7" cm="1">
        <f t="array" aca="1" ref="E27" ca="1">_FV(Table9[[#This Row],[Stocks]],"Price")</f>
        <v>3.4950000000000001</v>
      </c>
      <c r="F27" s="10" cm="1">
        <f t="array" aca="1" ref="F27" ca="1">_FV(Table9[[#This Row],[Stocks]],"Change (%)",TRUE)</f>
        <v>6.2309999999999997E-2</v>
      </c>
      <c r="G27" s="10" cm="1">
        <f t="array" aca="1" ref="G27" ca="1">_FV(Table9[[#This Row],[Stocks]],"Change % (Extended hours)",TRUE)</f>
        <v>1.0014E-2</v>
      </c>
      <c r="H27" s="7" cm="1">
        <f t="array" aca="1" ref="H27" ca="1">_FV(Table9[[#This Row],[Stocks]],"52 week high",TRUE)</f>
        <v>14.3188</v>
      </c>
      <c r="I27" s="7" cm="1">
        <f t="array" aca="1" ref="I27" ca="1">_FV(Table9[[#This Row],[Stocks]],"52 week low",TRUE)</f>
        <v>1.9</v>
      </c>
      <c r="J27" s="9" cm="1">
        <f t="array" aca="1" ref="J27" ca="1">_FV(Table9[[#This Row],[Stocks]],"Volume")</f>
        <v>828235</v>
      </c>
      <c r="K27" s="9" cm="1">
        <f t="array" aca="1" ref="K27" ca="1">_FV(Table9[[#This Row],[Stocks]],"Volume average",TRUE)</f>
        <v>1922121</v>
      </c>
      <c r="L27" s="9" cm="1">
        <f t="array" aca="1" ref="L27" ca="1">_FV(Table9[[#This Row],[Stocks]],"Shares outstanding",TRUE)</f>
        <v>31749320</v>
      </c>
      <c r="M27" s="38" cm="1">
        <f t="array" aca="1" ref="M27" ca="1">_FV(Table9[[#This Row],[Stocks]],"P/E",TRUE)</f>
        <v>0</v>
      </c>
      <c r="N27" s="6" cm="1">
        <f t="array" aca="1" ref="N27" ca="1">_FV(Table9[[#This Row],[Stocks]],"Year incorporated",TRUE)</f>
        <v>2023</v>
      </c>
      <c r="O27" s="7" t="str" cm="1">
        <f t="array" aca="1" ref="O27" ca="1">_FV(Table9[[#This Row],[Stocks]],"Exchange")</f>
        <v>Nasdaq Stock Market</v>
      </c>
      <c r="P27" s="7" t="str" cm="1">
        <f t="array" aca="1" ref="P27" ca="1">_FV(Table9[[#This Row],[Stocks]],"Headquarters")</f>
        <v>8210 154Th Ave Ne, REDMOND, WA, 98052 US</v>
      </c>
      <c r="Q27" s="7" t="s">
        <v>114</v>
      </c>
    </row>
    <row r="28" spans="1:17" x14ac:dyDescent="0.3">
      <c r="A28" t="s">
        <v>154</v>
      </c>
      <c r="B28" s="14" t="e" cm="1" vm="31">
        <f t="array" ref="B28">_FV(Table9[[#This Row],[Stocks]],"Ticker symbol",TRUE)</f>
        <v>#VALUE!</v>
      </c>
      <c r="C28" t="e" cm="1" vm="32">
        <f t="array" ref="C28">_FV(Table9[[#This Row],[Stocks]],"Industry")</f>
        <v>#VALUE!</v>
      </c>
      <c r="D28" s="3" t="e" cm="1" vm="33">
        <f t="array" ref="D28">_FV(Table9[[#This Row],[Stocks]],"Market cap",TRUE)</f>
        <v>#VALUE!</v>
      </c>
      <c r="E28" s="7" t="e" cm="1" vm="34">
        <f t="array" ref="E28">_FV(Table9[[#This Row],[Stocks]],"Price")</f>
        <v>#VALUE!</v>
      </c>
      <c r="F28" s="10" t="e" cm="1" vm="35">
        <f t="array" ref="F28">_FV(Table9[[#This Row],[Stocks]],"Change (%)",TRUE)</f>
        <v>#VALUE!</v>
      </c>
      <c r="G28" s="10" t="e" cm="1" vm="2">
        <f t="array" ref="G28">_FV(Table9[[#This Row],[Stocks]],"Change % (Extended hours)",TRUE)</f>
        <v>#VALUE!</v>
      </c>
      <c r="H28" s="7" t="e" cm="1" vm="10">
        <f t="array" ref="H28">_FV(Table9[[#This Row],[Stocks]],"52 week high",TRUE)</f>
        <v>#VALUE!</v>
      </c>
      <c r="I28" s="7" t="e" cm="1" vm="11">
        <f t="array" ref="I28">_FV(Table9[[#This Row],[Stocks]],"52 week low",TRUE)</f>
        <v>#VALUE!</v>
      </c>
      <c r="J28" s="9" t="e" cm="1" vm="36">
        <f t="array" ref="J28">_FV(Table9[[#This Row],[Stocks]],"Volume")</f>
        <v>#VALUE!</v>
      </c>
      <c r="K28" s="9" t="e" cm="1" vm="37">
        <f t="array" ref="K28">_FV(Table9[[#This Row],[Stocks]],"Volume average",TRUE)</f>
        <v>#VALUE!</v>
      </c>
      <c r="L28" s="9" t="e" cm="1" vm="38">
        <f t="array" ref="L28">_FV(Table9[[#This Row],[Stocks]],"Shares outstanding",TRUE)</f>
        <v>#VALUE!</v>
      </c>
      <c r="M28" s="38" t="e" cm="1" vm="5">
        <f t="array" ref="M28">_FV(Table9[[#This Row],[Stocks]],"P/E",TRUE)</f>
        <v>#VALUE!</v>
      </c>
      <c r="N28" s="6" t="e" cm="1" vm="39">
        <f t="array" ref="N28">_FV(Table9[[#This Row],[Stocks]],"Year incorporated",TRUE)</f>
        <v>#VALUE!</v>
      </c>
      <c r="O28" s="7" t="e" cm="1" vm="40">
        <f t="array" ref="O28">_FV(Table9[[#This Row],[Stocks]],"Exchange")</f>
        <v>#VALUE!</v>
      </c>
      <c r="P28" s="7" t="e" cm="1" vm="41">
        <f t="array" ref="P28">_FV(Table9[[#This Row],[Stocks]],"Headquarters")</f>
        <v>#VALUE!</v>
      </c>
      <c r="Q28" s="7" t="s">
        <v>114</v>
      </c>
    </row>
    <row r="29" spans="1:17" x14ac:dyDescent="0.3">
      <c r="A29" t="e" vm="42">
        <v>#VALUE!</v>
      </c>
      <c r="B29" s="14" t="str" cm="1">
        <f t="array" aca="1" ref="B29" ca="1">_FV(Table9[[#This Row],[Stocks]],"Ticker symbol",TRUE)</f>
        <v>GMM</v>
      </c>
      <c r="C29" t="str" cm="1">
        <f t="array" aca="1" ref="C29" ca="1">_FV(Table9[[#This Row],[Stocks]],"Industry")</f>
        <v>Software &amp; IT Services</v>
      </c>
      <c r="D29" s="3" cm="1">
        <f t="array" aca="1" ref="D29" ca="1">_FV(Table9[[#This Row],[Stocks]],"Market cap",TRUE)</f>
        <v>58689065</v>
      </c>
      <c r="E29" s="7" cm="1">
        <f t="array" aca="1" ref="E29" ca="1">_FV(Table9[[#This Row],[Stocks]],"Price")</f>
        <v>3.52</v>
      </c>
      <c r="F29" s="10" cm="1">
        <f t="array" aca="1" ref="F29" ca="1">_FV(Table9[[#This Row],[Stocks]],"Change (%)",TRUE)</f>
        <v>1.7340999999999999E-2</v>
      </c>
      <c r="G29" s="10" cm="1">
        <f t="array" aca="1" ref="G29" ca="1">_FV(Table9[[#This Row],[Stocks]],"Change % (Extended hours)",TRUE)</f>
        <v>2.8410000000000002E-3</v>
      </c>
      <c r="H29" s="7" cm="1">
        <f t="array" aca="1" ref="H29" ca="1">_FV(Table9[[#This Row],[Stocks]],"52 week high",TRUE)</f>
        <v>45.75</v>
      </c>
      <c r="I29" s="7" cm="1">
        <f t="array" aca="1" ref="I29" ca="1">_FV(Table9[[#This Row],[Stocks]],"52 week low",TRUE)</f>
        <v>3.01</v>
      </c>
      <c r="J29" s="9" cm="1">
        <f t="array" aca="1" ref="J29" ca="1">_FV(Table9[[#This Row],[Stocks]],"Volume")</f>
        <v>30568</v>
      </c>
      <c r="K29" s="9" cm="1">
        <f t="array" aca="1" ref="K29" ca="1">_FV(Table9[[#This Row],[Stocks]],"Volume average",TRUE)</f>
        <v>46395</v>
      </c>
      <c r="L29" s="9" cm="1">
        <f t="array" aca="1" ref="L29" ca="1">_FV(Table9[[#This Row],[Stocks]],"Shares outstanding",TRUE)</f>
        <v>16673030</v>
      </c>
      <c r="M29" s="38" cm="1">
        <f t="array" aca="1" ref="M29" ca="1">_FV(Table9[[#This Row],[Stocks]],"P/E",TRUE)</f>
        <v>0.54310000000000003</v>
      </c>
      <c r="N29" s="6" cm="1">
        <f t="array" aca="1" ref="N29" ca="1">_FV(Table9[[#This Row],[Stocks]],"Year incorporated",TRUE)</f>
        <v>2021</v>
      </c>
      <c r="O29" s="7" t="str" cm="1">
        <f t="array" aca="1" ref="O29" ca="1">_FV(Table9[[#This Row],[Stocks]],"Exchange")</f>
        <v>Nasdaq Stock Market</v>
      </c>
      <c r="P29" s="7" t="str" cm="1">
        <f t="array" aca="1" ref="P29" ca="1">_FV(Table9[[#This Row],[Stocks]],"Headquarters")</f>
        <v>No. 102, 1St Floor, No. A12, Xidian Memory Cultural And Creative Town, BEIJING, BEIJING, 225300 CN</v>
      </c>
      <c r="Q29" s="7" t="s">
        <v>116</v>
      </c>
    </row>
    <row r="30" spans="1:17" x14ac:dyDescent="0.3">
      <c r="A30" t="e" vm="43">
        <v>#VALUE!</v>
      </c>
      <c r="B30" s="14" t="str" cm="1">
        <f t="array" aca="1" ref="B30" ca="1">_FV(Table9[[#This Row],[Stocks]],"Ticker symbol",TRUE)</f>
        <v>WKEY</v>
      </c>
      <c r="C30" t="str" cm="1">
        <f t="array" aca="1" ref="C30" ca="1">_FV(Table9[[#This Row],[Stocks]],"Industry")</f>
        <v>Semiconductors &amp; Semiconductor Equipment</v>
      </c>
      <c r="D30" s="3" cm="1">
        <f t="array" aca="1" ref="D30" ca="1">_FV(Table9[[#This Row],[Stocks]],"Market cap",TRUE)</f>
        <v>38230470</v>
      </c>
      <c r="E30" s="7" cm="1">
        <f t="array" aca="1" ref="E30" ca="1">_FV(Table9[[#This Row],[Stocks]],"Price")</f>
        <v>4.99</v>
      </c>
      <c r="F30" s="10" cm="1">
        <f t="array" aca="1" ref="F30" ca="1">_FV(Table9[[#This Row],[Stocks]],"Change (%)",TRUE)</f>
        <v>4.1753999999999999E-2</v>
      </c>
      <c r="G30" s="10" cm="1">
        <f t="array" aca="1" ref="G30" ca="1">_FV(Table9[[#This Row],[Stocks]],"Change % (Extended hours)",TRUE)</f>
        <v>-1.8036E-2</v>
      </c>
      <c r="H30" s="7" cm="1">
        <f t="array" aca="1" ref="H30" ca="1">_FV(Table9[[#This Row],[Stocks]],"52 week high",TRUE)</f>
        <v>14</v>
      </c>
      <c r="I30" s="7" cm="1">
        <f t="array" aca="1" ref="I30" ca="1">_FV(Table9[[#This Row],[Stocks]],"52 week low",TRUE)</f>
        <v>1.61</v>
      </c>
      <c r="J30" s="9" cm="1">
        <f t="array" aca="1" ref="J30" ca="1">_FV(Table9[[#This Row],[Stocks]],"Volume")</f>
        <v>402848</v>
      </c>
      <c r="K30" s="9" cm="1">
        <f t="array" aca="1" ref="K30" ca="1">_FV(Table9[[#This Row],[Stocks]],"Volume average",TRUE)</f>
        <v>318812</v>
      </c>
      <c r="L30" s="9" cm="1">
        <f t="array" aca="1" ref="L30" ca="1">_FV(Table9[[#This Row],[Stocks]],"Shares outstanding",TRUE)</f>
        <v>8161090</v>
      </c>
      <c r="M30" s="38" cm="1">
        <f t="array" aca="1" ref="M30" ca="1">_FV(Table9[[#This Row],[Stocks]],"P/E",TRUE)</f>
        <v>0</v>
      </c>
      <c r="N30" s="6" cm="1">
        <f t="array" aca="1" ref="N30" ca="1">_FV(Table9[[#This Row],[Stocks]],"Year incorporated",TRUE)</f>
        <v>2015</v>
      </c>
      <c r="O30" s="7" t="str" cm="1">
        <f t="array" aca="1" ref="O30" ca="1">_FV(Table9[[#This Row],[Stocks]],"Exchange")</f>
        <v>Nasdaq Stock Market</v>
      </c>
      <c r="P30" s="7" t="str" cm="1">
        <f t="array" aca="1" ref="P30" ca="1">_FV(Table9[[#This Row],[Stocks]],"Headquarters")</f>
        <v>General-Guisan-Strasse 6, ZUG, ZUG, 6300 CH</v>
      </c>
      <c r="Q30" s="7" t="s">
        <v>118</v>
      </c>
    </row>
    <row r="31" spans="1:17" x14ac:dyDescent="0.3">
      <c r="A31" t="e" vm="44">
        <v>#VALUE!</v>
      </c>
      <c r="B31" s="14" t="str" cm="1">
        <f t="array" aca="1" ref="B31" ca="1">_FV(Table9[[#This Row],[Stocks]],"Ticker symbol",TRUE)</f>
        <v>SMCI</v>
      </c>
      <c r="C31" t="str" cm="1">
        <f t="array" aca="1" ref="C31" ca="1">_FV(Table9[[#This Row],[Stocks]],"Industry")</f>
        <v>Computers, Phones &amp; Household Electronics</v>
      </c>
      <c r="D31" s="3" cm="1">
        <f t="array" aca="1" ref="D31" ca="1">_FV(Table9[[#This Row],[Stocks]],"Market cap",TRUE)</f>
        <v>22694730000</v>
      </c>
      <c r="E31" s="7" cm="1">
        <f t="array" aca="1" ref="E31" ca="1">_FV(Table9[[#This Row],[Stocks]],"Price")</f>
        <v>38.24</v>
      </c>
      <c r="F31" s="10" cm="1">
        <f t="array" aca="1" ref="F31" ca="1">_FV(Table9[[#This Row],[Stocks]],"Change (%)",TRUE)</f>
        <v>3.2119000000000002E-2</v>
      </c>
      <c r="G31" s="10" cm="1">
        <f t="array" aca="1" ref="G31" ca="1">_FV(Table9[[#This Row],[Stocks]],"Change % (Extended hours)",TRUE)</f>
        <v>-3.679E-3</v>
      </c>
      <c r="H31" s="7" cm="1">
        <f t="array" aca="1" ref="H31" ca="1">_FV(Table9[[#This Row],[Stocks]],"52 week high",TRUE)</f>
        <v>122.9</v>
      </c>
      <c r="I31" s="7" cm="1">
        <f t="array" aca="1" ref="I31" ca="1">_FV(Table9[[#This Row],[Stocks]],"52 week low",TRUE)</f>
        <v>17.25</v>
      </c>
      <c r="J31" s="9" cm="1">
        <f t="array" aca="1" ref="J31" ca="1">_FV(Table9[[#This Row],[Stocks]],"Volume")</f>
        <v>59173963</v>
      </c>
      <c r="K31" s="9" cm="1">
        <f t="array" aca="1" ref="K31" ca="1">_FV(Table9[[#This Row],[Stocks]],"Volume average",TRUE)</f>
        <v>111690804</v>
      </c>
      <c r="L31" s="9" cm="1">
        <f t="array" aca="1" ref="L31" ca="1">_FV(Table9[[#This Row],[Stocks]],"Shares outstanding",TRUE)</f>
        <v>593481300</v>
      </c>
      <c r="M31" s="38" cm="1">
        <f t="array" aca="1" ref="M31" ca="1">_FV(Table9[[#This Row],[Stocks]],"P/E",TRUE)</f>
        <v>16.7272</v>
      </c>
      <c r="N31" s="6" cm="1">
        <f t="array" aca="1" ref="N31" ca="1">_FV(Table9[[#This Row],[Stocks]],"Year incorporated",TRUE)</f>
        <v>2006</v>
      </c>
      <c r="O31" s="7" t="str" cm="1">
        <f t="array" aca="1" ref="O31" ca="1">_FV(Table9[[#This Row],[Stocks]],"Exchange")</f>
        <v>Nasdaq Stock Market</v>
      </c>
      <c r="P31" s="7" t="str" cm="1">
        <f t="array" aca="1" ref="P31" ca="1">_FV(Table9[[#This Row],[Stocks]],"Headquarters")</f>
        <v>980 Rock Avenue, SAN JOSE, CA, 95131 US</v>
      </c>
    </row>
    <row r="32" spans="1:17" x14ac:dyDescent="0.3">
      <c r="A32" t="e" vm="45">
        <v>#VALUE!</v>
      </c>
      <c r="B32" s="14" t="str" cm="1">
        <f t="array" aca="1" ref="B32" ca="1">_FV(Table9[[#This Row],[Stocks]],"Ticker symbol",TRUE)</f>
        <v>OS</v>
      </c>
      <c r="C32" t="str" cm="1">
        <f t="array" aca="1" ref="C32" ca="1">_FV(Table9[[#This Row],[Stocks]],"Industry")</f>
        <v>Software &amp; IT Services</v>
      </c>
      <c r="D32" s="3" cm="1">
        <f t="array" aca="1" ref="D32" ca="1">_FV(Table9[[#This Row],[Stocks]],"Market cap",TRUE)</f>
        <v>5568754000</v>
      </c>
      <c r="E32" s="7" cm="1">
        <f t="array" aca="1" ref="E32" ca="1">_FV(Table9[[#This Row],[Stocks]],"Price")</f>
        <v>23.33</v>
      </c>
      <c r="F32" s="10" cm="1">
        <f t="array" aca="1" ref="F32" ca="1">_FV(Table9[[#This Row],[Stocks]],"Change (%)",TRUE)</f>
        <v>2.0114E-2</v>
      </c>
      <c r="G32" s="10" cm="1">
        <f t="array" aca="1" ref="G32" ca="1">_FV(Table9[[#This Row],[Stocks]],"Change % (Extended hours)",TRUE)</f>
        <v>-1.4145000000000001E-2</v>
      </c>
      <c r="H32" s="7" cm="1">
        <f t="array" aca="1" ref="H32" ca="1">_FV(Table9[[#This Row],[Stocks]],"52 week high",TRUE)</f>
        <v>35.39</v>
      </c>
      <c r="I32" s="7" cm="1">
        <f t="array" aca="1" ref="I32" ca="1">_FV(Table9[[#This Row],[Stocks]],"52 week low",TRUE)</f>
        <v>21.69</v>
      </c>
      <c r="J32" s="9" cm="1">
        <f t="array" aca="1" ref="J32" ca="1">_FV(Table9[[#This Row],[Stocks]],"Volume")</f>
        <v>2216222</v>
      </c>
      <c r="K32" s="9" cm="1">
        <f t="array" aca="1" ref="K32" ca="1">_FV(Table9[[#This Row],[Stocks]],"Volume average",TRUE)</f>
        <v>1929753</v>
      </c>
      <c r="L32" s="9" cm="1">
        <f t="array" aca="1" ref="L32" ca="1">_FV(Table9[[#This Row],[Stocks]],"Shares outstanding",TRUE)</f>
        <v>238695000</v>
      </c>
      <c r="M32" s="38" cm="1">
        <f t="array" aca="1" ref="M32" ca="1">_FV(Table9[[#This Row],[Stocks]],"P/E",TRUE)</f>
        <v>0</v>
      </c>
      <c r="N32" s="6" cm="1">
        <f t="array" aca="1" ref="N32" ca="1">_FV(Table9[[#This Row],[Stocks]],"Year incorporated",TRUE)</f>
        <v>2021</v>
      </c>
      <c r="O32" s="7" t="str" cm="1">
        <f t="array" aca="1" ref="O32" ca="1">_FV(Table9[[#This Row],[Stocks]],"Exchange")</f>
        <v>Nasdaq Stock Market</v>
      </c>
      <c r="P32" s="7" t="str" cm="1">
        <f t="array" aca="1" ref="P32" ca="1">_FV(Table9[[#This Row],[Stocks]],"Headquarters")</f>
        <v>362 South Street, ROCHESTER, MI, 48307 US</v>
      </c>
      <c r="Q32" s="7" t="s">
        <v>114</v>
      </c>
    </row>
    <row r="33" spans="1:17" x14ac:dyDescent="0.3">
      <c r="A33" t="e" vm="46">
        <v>#VALUE!</v>
      </c>
      <c r="B33" s="14" t="str" cm="1">
        <f t="array" aca="1" ref="B33" ca="1">_FV(Table9[[#This Row],[Stocks]],"Ticker symbol",TRUE)</f>
        <v>VSAT</v>
      </c>
      <c r="C33" t="str" cm="1">
        <f t="array" aca="1" ref="C33" ca="1">_FV(Table9[[#This Row],[Stocks]],"Industry")</f>
        <v>Communications &amp; Networking</v>
      </c>
      <c r="D33" s="3" cm="1">
        <f t="array" aca="1" ref="D33" ca="1">_FV(Table9[[#This Row],[Stocks]],"Market cap",TRUE)</f>
        <v>1256338000</v>
      </c>
      <c r="E33" s="7" cm="1">
        <f t="array" aca="1" ref="E33" ca="1">_FV(Table9[[#This Row],[Stocks]],"Price")</f>
        <v>9.73</v>
      </c>
      <c r="F33" s="10" cm="1">
        <f t="array" aca="1" ref="F33" ca="1">_FV(Table9[[#This Row],[Stocks]],"Change (%)",TRUE)</f>
        <v>1.8848E-2</v>
      </c>
      <c r="G33" s="10" cm="1">
        <f t="array" aca="1" ref="G33" ca="1">_FV(Table9[[#This Row],[Stocks]],"Change % (Extended hours)",TRUE)</f>
        <v>-3.0830000000000002E-3</v>
      </c>
      <c r="H33" s="7" cm="1">
        <f t="array" aca="1" ref="H33" ca="1">_FV(Table9[[#This Row],[Stocks]],"52 week high",TRUE)</f>
        <v>26.7</v>
      </c>
      <c r="I33" s="7" cm="1">
        <f t="array" aca="1" ref="I33" ca="1">_FV(Table9[[#This Row],[Stocks]],"52 week low",TRUE)</f>
        <v>6.69</v>
      </c>
      <c r="J33" s="9" cm="1">
        <f t="array" aca="1" ref="J33" ca="1">_FV(Table9[[#This Row],[Stocks]],"Volume")</f>
        <v>3062266</v>
      </c>
      <c r="K33" s="9" cm="1">
        <f t="array" aca="1" ref="K33" ca="1">_FV(Table9[[#This Row],[Stocks]],"Volume average",TRUE)</f>
        <v>4094515</v>
      </c>
      <c r="L33" s="9" cm="1">
        <f t="array" aca="1" ref="L33" ca="1">_FV(Table9[[#This Row],[Stocks]],"Shares outstanding",TRUE)</f>
        <v>129120000</v>
      </c>
      <c r="M33" s="38" cm="1">
        <f t="array" aca="1" ref="M33" ca="1">_FV(Table9[[#This Row],[Stocks]],"P/E",TRUE)</f>
        <v>0</v>
      </c>
      <c r="N33" s="6" cm="1">
        <f t="array" aca="1" ref="N33" ca="1">_FV(Table9[[#This Row],[Stocks]],"Year incorporated",TRUE)</f>
        <v>1996</v>
      </c>
      <c r="O33" s="7" t="str" cm="1">
        <f t="array" aca="1" ref="O33" ca="1">_FV(Table9[[#This Row],[Stocks]],"Exchange")</f>
        <v>Nasdaq Stock Market</v>
      </c>
      <c r="P33" s="7" t="str" cm="1">
        <f t="array" aca="1" ref="P33" ca="1">_FV(Table9[[#This Row],[Stocks]],"Headquarters")</f>
        <v>6155 El Camino Real, CARLSBAD, CA, 92009 US</v>
      </c>
      <c r="Q33" s="7" t="s">
        <v>114</v>
      </c>
    </row>
    <row r="34" spans="1:17" x14ac:dyDescent="0.3">
      <c r="A34" t="e" vm="47">
        <v>#VALUE!</v>
      </c>
      <c r="B34" s="14" t="str" cm="1">
        <f t="array" aca="1" ref="B34" ca="1">_FV(Table9[[#This Row],[Stocks]],"Ticker symbol",TRUE)</f>
        <v>EOSE</v>
      </c>
      <c r="C34" t="str" cm="1">
        <f t="array" aca="1" ref="C34" ca="1">_FV(Table9[[#This Row],[Stocks]],"Industry")</f>
        <v>Machinery, Equipment &amp; Components</v>
      </c>
      <c r="D34" s="3" cm="1">
        <f t="array" aca="1" ref="D34" ca="1">_FV(Table9[[#This Row],[Stocks]],"Market cap",TRUE)</f>
        <v>1042357000</v>
      </c>
      <c r="E34" s="7" cm="1">
        <f t="array" aca="1" ref="E34" ca="1">_FV(Table9[[#This Row],[Stocks]],"Price")</f>
        <v>4.5999999999999996</v>
      </c>
      <c r="F34" s="10" cm="1">
        <f t="array" aca="1" ref="F34" ca="1">_FV(Table9[[#This Row],[Stocks]],"Change (%)",TRUE)</f>
        <v>1.5453E-2</v>
      </c>
      <c r="G34" s="10" cm="1">
        <f t="array" aca="1" ref="G34" ca="1">_FV(Table9[[#This Row],[Stocks]],"Change % (Extended hours)",TRUE)</f>
        <v>-2.1740000000000002E-3</v>
      </c>
      <c r="H34" s="7" cm="1">
        <f t="array" aca="1" ref="H34" ca="1">_FV(Table9[[#This Row],[Stocks]],"52 week high",TRUE)</f>
        <v>6.64</v>
      </c>
      <c r="I34" s="7" cm="1">
        <f t="array" aca="1" ref="I34" ca="1">_FV(Table9[[#This Row],[Stocks]],"52 week low",TRUE)</f>
        <v>0.61</v>
      </c>
      <c r="J34" s="9" cm="1">
        <f t="array" aca="1" ref="J34" ca="1">_FV(Table9[[#This Row],[Stocks]],"Volume")</f>
        <v>5707530</v>
      </c>
      <c r="K34" s="9" cm="1">
        <f t="array" aca="1" ref="K34" ca="1">_FV(Table9[[#This Row],[Stocks]],"Volume average",TRUE)</f>
        <v>6790276</v>
      </c>
      <c r="L34" s="9" cm="1">
        <f t="array" aca="1" ref="L34" ca="1">_FV(Table9[[#This Row],[Stocks]],"Shares outstanding",TRUE)</f>
        <v>226599300</v>
      </c>
      <c r="M34" s="38" cm="1">
        <f t="array" aca="1" ref="M34" ca="1">_FV(Table9[[#This Row],[Stocks]],"P/E",TRUE)</f>
        <v>0</v>
      </c>
      <c r="N34" s="6" cm="1">
        <f t="array" aca="1" ref="N34" ca="1">_FV(Table9[[#This Row],[Stocks]],"Year incorporated",TRUE)</f>
        <v>1970</v>
      </c>
      <c r="O34" s="7" t="str" cm="1">
        <f t="array" aca="1" ref="O34" ca="1">_FV(Table9[[#This Row],[Stocks]],"Exchange")</f>
        <v>Nasdaq Stock Market</v>
      </c>
      <c r="P34" s="7" t="str" cm="1">
        <f t="array" aca="1" ref="P34" ca="1">_FV(Table9[[#This Row],[Stocks]],"Headquarters")</f>
        <v>3920 Park Avenue, EDISON, NJ, 08820 US</v>
      </c>
      <c r="Q34" s="7" t="s">
        <v>114</v>
      </c>
    </row>
    <row r="35" spans="1:17" x14ac:dyDescent="0.3">
      <c r="A35" t="e" vm="48">
        <v>#VALUE!</v>
      </c>
      <c r="B35" s="14" t="str" cm="1">
        <f t="array" aca="1" ref="B35" ca="1">_FV(Table9[[#This Row],[Stocks]],"Ticker symbol",TRUE)</f>
        <v>AEVA</v>
      </c>
      <c r="C35" t="str" cm="1">
        <f t="array" aca="1" ref="C35" ca="1">_FV(Table9[[#This Row],[Stocks]],"Industry")</f>
        <v>Communications &amp; Networking</v>
      </c>
      <c r="D35" s="3" cm="1">
        <f t="array" aca="1" ref="D35" ca="1">_FV(Table9[[#This Row],[Stocks]],"Market cap",TRUE)</f>
        <v>168653200</v>
      </c>
      <c r="E35" s="7" cm="1">
        <f t="array" aca="1" ref="E35" ca="1">_FV(Table9[[#This Row],[Stocks]],"Price")</f>
        <v>3.13</v>
      </c>
      <c r="F35" s="10" cm="1">
        <f t="array" aca="1" ref="F35" ca="1">_FV(Table9[[#This Row],[Stocks]],"Change (%)",TRUE)</f>
        <v>1.2945E-2</v>
      </c>
      <c r="G35" s="10" cm="1">
        <f t="array" aca="1" ref="G35" ca="1">_FV(Table9[[#This Row],[Stocks]],"Change % (Extended hours)",TRUE)</f>
        <v>2.2109E-2</v>
      </c>
      <c r="H35" s="7" cm="1">
        <f t="array" aca="1" ref="H35" ca="1">_FV(Table9[[#This Row],[Stocks]],"52 week high",TRUE)</f>
        <v>7.25</v>
      </c>
      <c r="I35" s="7" cm="1">
        <f t="array" aca="1" ref="I35" ca="1">_FV(Table9[[#This Row],[Stocks]],"52 week low",TRUE)</f>
        <v>2.2006999999999999</v>
      </c>
      <c r="J35" s="9" cm="1">
        <f t="array" aca="1" ref="J35" ca="1">_FV(Table9[[#This Row],[Stocks]],"Volume")</f>
        <v>445641</v>
      </c>
      <c r="K35" s="9" cm="1">
        <f t="array" aca="1" ref="K35" ca="1">_FV(Table9[[#This Row],[Stocks]],"Volume average",TRUE)</f>
        <v>326014</v>
      </c>
      <c r="L35" s="9" cm="1">
        <f t="array" aca="1" ref="L35" ca="1">_FV(Table9[[#This Row],[Stocks]],"Shares outstanding",TRUE)</f>
        <v>53882800</v>
      </c>
      <c r="M35" s="38" cm="1">
        <f t="array" aca="1" ref="M35" ca="1">_FV(Table9[[#This Row],[Stocks]],"P/E",TRUE)</f>
        <v>0</v>
      </c>
      <c r="N35" s="6" cm="1">
        <f t="array" aca="1" ref="N35" ca="1">_FV(Table9[[#This Row],[Stocks]],"Year incorporated",TRUE)</f>
        <v>2019</v>
      </c>
      <c r="O35" s="7" t="str" cm="1">
        <f t="array" aca="1" ref="O35" ca="1">_FV(Table9[[#This Row],[Stocks]],"Exchange")</f>
        <v>Nasdaq Stock Market</v>
      </c>
      <c r="P35" s="7" t="str" cm="1">
        <f t="array" aca="1" ref="P35" ca="1">_FV(Table9[[#This Row],[Stocks]],"Headquarters")</f>
        <v>555 Ellis Street, MOUNTAIN VIEW, CA, 94043 US</v>
      </c>
      <c r="Q35" s="7" t="s">
        <v>114</v>
      </c>
    </row>
    <row r="36" spans="1:17" x14ac:dyDescent="0.3">
      <c r="A36" t="e" vm="49">
        <v>#VALUE!</v>
      </c>
      <c r="B36" s="14" t="str" cm="1">
        <f t="array" aca="1" ref="B36" ca="1">_FV(Table9[[#This Row],[Stocks]],"Ticker symbol",TRUE)</f>
        <v>INTJ</v>
      </c>
      <c r="C36" t="str" cm="1">
        <f t="array" aca="1" ref="C36" ca="1">_FV(Table9[[#This Row],[Stocks]],"Industry")</f>
        <v>Media &amp; Publishing</v>
      </c>
      <c r="D36" s="3" cm="1">
        <f t="array" aca="1" ref="D36" ca="1">_FV(Table9[[#This Row],[Stocks]],"Market cap",TRUE)</f>
        <v>9415080</v>
      </c>
      <c r="E36" s="7" cm="1">
        <f t="array" aca="1" ref="E36" ca="1">_FV(Table9[[#This Row],[Stocks]],"Price")</f>
        <v>0.80900000000000005</v>
      </c>
      <c r="F36" s="10" cm="1">
        <f t="array" aca="1" ref="F36" ca="1">_FV(Table9[[#This Row],[Stocks]],"Change (%)",TRUE)</f>
        <v>1.0366E-2</v>
      </c>
      <c r="G36" s="10" cm="1">
        <f t="array" aca="1" ref="G36" ca="1">_FV(Table9[[#This Row],[Stocks]],"Change % (Extended hours)",TRUE)</f>
        <v>-9.8790000000000011E-4</v>
      </c>
      <c r="H36" s="7" cm="1">
        <f t="array" aca="1" ref="H36" ca="1">_FV(Table9[[#This Row],[Stocks]],"52 week high",TRUE)</f>
        <v>7.87</v>
      </c>
      <c r="I36" s="7" cm="1">
        <f t="array" aca="1" ref="I36" ca="1">_FV(Table9[[#This Row],[Stocks]],"52 week low",TRUE)</f>
        <v>0.71719999999999995</v>
      </c>
      <c r="J36" s="9" cm="1">
        <f t="array" aca="1" ref="J36" ca="1">_FV(Table9[[#This Row],[Stocks]],"Volume")</f>
        <v>4064</v>
      </c>
      <c r="K36" s="9" cm="1">
        <f t="array" aca="1" ref="K36" ca="1">_FV(Table9[[#This Row],[Stocks]],"Volume average",TRUE)</f>
        <v>72131</v>
      </c>
      <c r="L36" s="9" cm="1">
        <f t="array" aca="1" ref="L36" ca="1">_FV(Table9[[#This Row],[Stocks]],"Shares outstanding",TRUE)</f>
        <v>11625000</v>
      </c>
      <c r="M36" s="38" cm="1">
        <f t="array" aca="1" ref="M36" ca="1">_FV(Table9[[#This Row],[Stocks]],"P/E",TRUE)</f>
        <v>17.472999999999999</v>
      </c>
      <c r="N36" s="6" cm="1">
        <f t="array" aca="1" ref="N36" ca="1">_FV(Table9[[#This Row],[Stocks]],"Year incorporated",TRUE)</f>
        <v>2018</v>
      </c>
      <c r="O36" s="7" t="str" cm="1">
        <f t="array" aca="1" ref="O36" ca="1">_FV(Table9[[#This Row],[Stocks]],"Exchange")</f>
        <v>Nasdaq Stock Market</v>
      </c>
      <c r="P36" s="7" t="str" cm="1">
        <f t="array" aca="1" ref="P36" ca="1">_FV(Table9[[#This Row],[Stocks]],"Headquarters")</f>
        <v>Unit 2803, Level 28, Admiralty Centre, Tower 1, 18 Harcourt Road, Admiralty HK</v>
      </c>
      <c r="Q36" s="7" t="s">
        <v>119</v>
      </c>
    </row>
    <row r="37" spans="1:17" x14ac:dyDescent="0.3">
      <c r="A37" t="e" vm="50">
        <v>#VALUE!</v>
      </c>
      <c r="B37" s="14" t="str" cm="1">
        <f t="array" aca="1" ref="B37" ca="1">_FV(Table9[[#This Row],[Stocks]],"Ticker symbol",TRUE)</f>
        <v>NISN</v>
      </c>
      <c r="C37" t="str" cm="1">
        <f t="array" aca="1" ref="C37" ca="1">_FV(Table9[[#This Row],[Stocks]],"Industry")</f>
        <v>Financial Technology (Fintech) &amp; Infrastructure</v>
      </c>
      <c r="D37" s="3" cm="1">
        <f t="array" aca="1" ref="D37" ca="1">_FV(Table9[[#This Row],[Stocks]],"Market cap",TRUE)</f>
        <v>32658443</v>
      </c>
      <c r="E37" s="7" cm="1">
        <f t="array" aca="1" ref="E37" ca="1">_FV(Table9[[#This Row],[Stocks]],"Price")</f>
        <v>7.02</v>
      </c>
      <c r="F37" s="10" cm="1">
        <f t="array" aca="1" ref="F37" ca="1">_FV(Table9[[#This Row],[Stocks]],"Change (%)",TRUE)</f>
        <v>5.5639000000000001E-2</v>
      </c>
      <c r="G37" s="10" cm="1">
        <f t="array" aca="1" ref="G37" ca="1">_FV(Table9[[#This Row],[Stocks]],"Change % (Extended hours)",TRUE)</f>
        <v>0</v>
      </c>
      <c r="H37" s="7" cm="1">
        <f t="array" aca="1" ref="H37" ca="1">_FV(Table9[[#This Row],[Stocks]],"52 week high",TRUE)</f>
        <v>22.55</v>
      </c>
      <c r="I37" s="7" cm="1">
        <f t="array" aca="1" ref="I37" ca="1">_FV(Table9[[#This Row],[Stocks]],"52 week low",TRUE)</f>
        <v>3.1423000000000001</v>
      </c>
      <c r="J37" s="9" cm="1">
        <f t="array" aca="1" ref="J37" ca="1">_FV(Table9[[#This Row],[Stocks]],"Volume")</f>
        <v>23374</v>
      </c>
      <c r="K37" s="9" cm="1">
        <f t="array" aca="1" ref="K37" ca="1">_FV(Table9[[#This Row],[Stocks]],"Volume average",TRUE)</f>
        <v>54632</v>
      </c>
      <c r="L37" s="9" cm="1">
        <f t="array" aca="1" ref="L37" ca="1">_FV(Table9[[#This Row],[Stocks]],"Shares outstanding",TRUE)</f>
        <v>4652200</v>
      </c>
      <c r="M37" s="38" cm="1">
        <f t="array" aca="1" ref="M37" ca="1">_FV(Table9[[#This Row],[Stocks]],"P/E",TRUE)</f>
        <v>1.5857000000000001</v>
      </c>
      <c r="N37" s="6" cm="1">
        <f t="array" aca="1" ref="N37" ca="1">_FV(Table9[[#This Row],[Stocks]],"Year incorporated",TRUE)</f>
        <v>2012</v>
      </c>
      <c r="O37" s="7" t="str" cm="1">
        <f t="array" aca="1" ref="O37" ca="1">_FV(Table9[[#This Row],[Stocks]],"Exchange")</f>
        <v>Nasdaq Stock Market</v>
      </c>
      <c r="P37" s="7" t="str" cm="1">
        <f t="array" aca="1" ref="P37" ca="1">_FV(Table9[[#This Row],[Stocks]],"Headquarters")</f>
        <v>21F, 55 Loushanguan Rd, Changning District, SHANGHAI, SHANGHAI, 200336 CN</v>
      </c>
      <c r="Q37" s="7" t="s">
        <v>116</v>
      </c>
    </row>
    <row r="38" spans="1:17" x14ac:dyDescent="0.3">
      <c r="A38" t="e" vm="51">
        <v>#VALUE!</v>
      </c>
      <c r="B38" s="14" t="str" cm="1">
        <f t="array" aca="1" ref="B38" ca="1">_FV(Table9[[#This Row],[Stocks]],"Ticker symbol",TRUE)</f>
        <v>MGIC</v>
      </c>
      <c r="C38" t="str" cm="1">
        <f t="array" aca="1" ref="C38" ca="1">_FV(Table9[[#This Row],[Stocks]],"Industry")</f>
        <v>Software &amp; IT Services</v>
      </c>
      <c r="D38" s="4" cm="1">
        <f t="array" aca="1" ref="D38" ca="1">_FV(Table9[[#This Row],[Stocks]],"Market cap",TRUE)</f>
        <v>2128763000</v>
      </c>
      <c r="E38" s="7" cm="1">
        <f t="array" aca="1" ref="E38" ca="1">_FV(Table9[[#This Row],[Stocks]],"Price")</f>
        <v>11.9</v>
      </c>
      <c r="F38" s="10" cm="1">
        <f t="array" aca="1" ref="F38" ca="1">_FV(Table9[[#This Row],[Stocks]],"Change (%)",TRUE)</f>
        <v>5.0680000000000005E-3</v>
      </c>
      <c r="G38" s="10" cm="1">
        <f t="array" aca="1" ref="G38" ca="1">_FV(Table9[[#This Row],[Stocks]],"Change % (Extended hours)",TRUE)</f>
        <v>0</v>
      </c>
      <c r="H38" s="7" cm="1">
        <f t="array" aca="1" ref="H38" ca="1">_FV(Table9[[#This Row],[Stocks]],"52 week high",TRUE)</f>
        <v>13.46</v>
      </c>
      <c r="I38" s="7" cm="1">
        <f t="array" aca="1" ref="I38" ca="1">_FV(Table9[[#This Row],[Stocks]],"52 week low",TRUE)</f>
        <v>9.51</v>
      </c>
      <c r="J38" s="9" cm="1">
        <f t="array" aca="1" ref="J38" ca="1">_FV(Table9[[#This Row],[Stocks]],"Volume")</f>
        <v>32397</v>
      </c>
      <c r="K38" s="9" cm="1">
        <f t="array" aca="1" ref="K38" ca="1">_FV(Table9[[#This Row],[Stocks]],"Volume average",TRUE)</f>
        <v>36989</v>
      </c>
      <c r="L38" s="9" cm="1">
        <f t="array" aca="1" ref="L38" ca="1">_FV(Table9[[#This Row],[Stocks]],"Shares outstanding",TRUE)</f>
        <v>49099310</v>
      </c>
      <c r="M38" s="38" cm="1">
        <f t="array" aca="1" ref="M38" ca="1">_FV(Table9[[#This Row],[Stocks]],"P/E",TRUE)</f>
        <v>15.7783</v>
      </c>
      <c r="N38" s="6" cm="1">
        <f t="array" aca="1" ref="N38" ca="1">_FV(Table9[[#This Row],[Stocks]],"Year incorporated",TRUE)</f>
        <v>1983</v>
      </c>
      <c r="O38" s="7" t="str" cm="1">
        <f t="array" aca="1" ref="O38" ca="1">_FV(Table9[[#This Row],[Stocks]],"Exchange")</f>
        <v>Nasdaq Stock Market</v>
      </c>
      <c r="P38" s="7" t="str" cm="1">
        <f t="array" aca="1" ref="P38" ca="1">_FV(Table9[[#This Row],[Stocks]],"Headquarters")</f>
        <v>Yaadut Canada 1 str; Terminal Center, OR YEHUDA, 6037501 IL</v>
      </c>
      <c r="Q38" s="7" t="s">
        <v>113</v>
      </c>
    </row>
    <row r="39" spans="1:17" x14ac:dyDescent="0.3">
      <c r="A39" t="e" vm="52">
        <v>#VALUE!</v>
      </c>
      <c r="B39" s="14" t="str" cm="1">
        <f t="array" aca="1" ref="B39" ca="1">_FV(Table9[[#This Row],[Stocks]],"Ticker symbol",TRUE)</f>
        <v>NRDS</v>
      </c>
      <c r="C39" t="str" cm="1">
        <f t="array" aca="1" ref="C39" ca="1">_FV(Table9[[#This Row],[Stocks]],"Industry")</f>
        <v>Banking Services</v>
      </c>
      <c r="D39" s="3" cm="1">
        <f t="array" aca="1" ref="D39" ca="1">_FV(Table9[[#This Row],[Stocks]],"Market cap",TRUE)</f>
        <v>696613602</v>
      </c>
      <c r="E39" s="7" cm="1">
        <f t="array" aca="1" ref="E39" ca="1">_FV(Table9[[#This Row],[Stocks]],"Price")</f>
        <v>9.4</v>
      </c>
      <c r="F39" s="10" cm="1">
        <f t="array" aca="1" ref="F39" ca="1">_FV(Table9[[#This Row],[Stocks]],"Change (%)",TRUE)</f>
        <v>0</v>
      </c>
      <c r="G39" s="10" cm="1">
        <f t="array" aca="1" ref="G39" ca="1">_FV(Table9[[#This Row],[Stocks]],"Change % (Extended hours)",TRUE)</f>
        <v>2.1279999999999997E-3</v>
      </c>
      <c r="H39" s="7" cm="1">
        <f t="array" aca="1" ref="H39" ca="1">_FV(Table9[[#This Row],[Stocks]],"52 week high",TRUE)</f>
        <v>16.5</v>
      </c>
      <c r="I39" s="7" cm="1">
        <f t="array" aca="1" ref="I39" ca="1">_FV(Table9[[#This Row],[Stocks]],"52 week low",TRUE)</f>
        <v>9.0749999999999993</v>
      </c>
      <c r="J39" s="9" cm="1">
        <f t="array" aca="1" ref="J39" ca="1">_FV(Table9[[#This Row],[Stocks]],"Volume")</f>
        <v>501905</v>
      </c>
      <c r="K39" s="9" cm="1">
        <f t="array" aca="1" ref="K39" ca="1">_FV(Table9[[#This Row],[Stocks]],"Volume average",TRUE)</f>
        <v>772698</v>
      </c>
      <c r="L39" s="9" cm="1">
        <f t="array" aca="1" ref="L39" ca="1">_FV(Table9[[#This Row],[Stocks]],"Shares outstanding",TRUE)</f>
        <v>74107830</v>
      </c>
      <c r="M39" s="38" cm="1">
        <f t="array" aca="1" ref="M39" ca="1">_FV(Table9[[#This Row],[Stocks]],"P/E",TRUE)</f>
        <v>26.087</v>
      </c>
      <c r="N39" s="6" cm="1">
        <f t="array" aca="1" ref="N39" ca="1">_FV(Table9[[#This Row],[Stocks]],"Year incorporated",TRUE)</f>
        <v>2010</v>
      </c>
      <c r="O39" s="7" t="str" cm="1">
        <f t="array" aca="1" ref="O39" ca="1">_FV(Table9[[#This Row],[Stocks]],"Exchange")</f>
        <v>Nasdaq Stock Market</v>
      </c>
      <c r="P39" s="7" t="str" cm="1">
        <f t="array" aca="1" ref="P39" ca="1">_FV(Table9[[#This Row],[Stocks]],"Headquarters")</f>
        <v>55 Hawthorne Street, 10Th Floor, SAN FRANCISCO, CA, 94105 US</v>
      </c>
      <c r="Q39" s="7" t="s">
        <v>114</v>
      </c>
    </row>
    <row r="40" spans="1:17" x14ac:dyDescent="0.3">
      <c r="A40" t="e" vm="53">
        <v>#VALUE!</v>
      </c>
      <c r="B40" s="14" t="str" cm="1">
        <f t="array" aca="1" ref="B40" ca="1">_FV(Table9[[#This Row],[Stocks]],"Ticker symbol",TRUE)</f>
        <v>ICAD</v>
      </c>
      <c r="C40" t="str" cm="1">
        <f t="array" aca="1" ref="C40" ca="1">_FV(Table9[[#This Row],[Stocks]],"Industry")</f>
        <v>Healthcare Equipment &amp; Supplies</v>
      </c>
      <c r="D40" s="3" cm="1">
        <f t="array" aca="1" ref="D40" ca="1">_FV(Table9[[#This Row],[Stocks]],"Market cap",TRUE)</f>
        <v>59449667</v>
      </c>
      <c r="E40" s="7" cm="1">
        <f t="array" aca="1" ref="E40" ca="1">_FV(Table9[[#This Row],[Stocks]],"Price")</f>
        <v>2.2400000000000002</v>
      </c>
      <c r="F40" s="10" cm="1">
        <f t="array" aca="1" ref="F40" ca="1">_FV(Table9[[#This Row],[Stocks]],"Change (%)",TRUE)</f>
        <v>0</v>
      </c>
      <c r="G40" s="10" cm="1">
        <f t="array" aca="1" ref="G40" ca="1">_FV(Table9[[#This Row],[Stocks]],"Change % (Extended hours)",TRUE)</f>
        <v>-4.509E-3</v>
      </c>
      <c r="H40" s="7" cm="1">
        <f t="array" aca="1" ref="H40" ca="1">_FV(Table9[[#This Row],[Stocks]],"52 week high",TRUE)</f>
        <v>3.78</v>
      </c>
      <c r="I40" s="7" cm="1">
        <f t="array" aca="1" ref="I40" ca="1">_FV(Table9[[#This Row],[Stocks]],"52 week low",TRUE)</f>
        <v>1.18</v>
      </c>
      <c r="J40" s="9" cm="1">
        <f t="array" aca="1" ref="J40" ca="1">_FV(Table9[[#This Row],[Stocks]],"Volume")</f>
        <v>274163</v>
      </c>
      <c r="K40" s="9" cm="1">
        <f t="array" aca="1" ref="K40" ca="1">_FV(Table9[[#This Row],[Stocks]],"Volume average",TRUE)</f>
        <v>521384</v>
      </c>
      <c r="L40" s="9" cm="1">
        <f t="array" aca="1" ref="L40" ca="1">_FV(Table9[[#This Row],[Stocks]],"Shares outstanding",TRUE)</f>
        <v>26540030</v>
      </c>
      <c r="M40" s="38" cm="1">
        <f t="array" aca="1" ref="M40" ca="1">_FV(Table9[[#This Row],[Stocks]],"P/E",TRUE)</f>
        <v>0</v>
      </c>
      <c r="N40" s="6" cm="1">
        <f t="array" aca="1" ref="N40" ca="1">_FV(Table9[[#This Row],[Stocks]],"Year incorporated",TRUE)</f>
        <v>1984</v>
      </c>
      <c r="O40" s="7" t="str" cm="1">
        <f t="array" aca="1" ref="O40" ca="1">_FV(Table9[[#This Row],[Stocks]],"Exchange")</f>
        <v>Nasdaq Stock Market</v>
      </c>
      <c r="P40" s="7" t="str" cm="1">
        <f t="array" aca="1" ref="P40" ca="1">_FV(Table9[[#This Row],[Stocks]],"Headquarters")</f>
        <v>98 Spit Brook Rd Ste 100, NASHUA, NH, 03062-5737 US</v>
      </c>
      <c r="Q40" s="7" t="s">
        <v>114</v>
      </c>
    </row>
    <row r="41" spans="1:17" x14ac:dyDescent="0.3">
      <c r="A41" t="e" vm="54">
        <v>#VALUE!</v>
      </c>
      <c r="B41" s="14" t="str" cm="1">
        <f t="array" aca="1" ref="B41" ca="1">_FV(Table9[[#This Row],[Stocks]],"Ticker symbol",TRUE)</f>
        <v>ABNB</v>
      </c>
      <c r="C41" t="str" cm="1">
        <f t="array" aca="1" ref="C41" ca="1">_FV(Table9[[#This Row],[Stocks]],"Industry")</f>
        <v>Software &amp; IT Services</v>
      </c>
      <c r="D41" s="3" cm="1">
        <f t="array" aca="1" ref="D41" ca="1">_FV(Table9[[#This Row],[Stocks]],"Market cap",TRUE)</f>
        <v>84738216843</v>
      </c>
      <c r="E41" s="7" cm="1">
        <f t="array" aca="1" ref="E41" ca="1">_FV(Table9[[#This Row],[Stocks]],"Price")</f>
        <v>134.38999999999999</v>
      </c>
      <c r="F41" s="10" cm="1">
        <f t="array" aca="1" ref="F41" ca="1">_FV(Table9[[#This Row],[Stocks]],"Change (%)",TRUE)</f>
        <v>-2.8199999999999996E-3</v>
      </c>
      <c r="G41" s="10" cm="1">
        <f t="array" aca="1" ref="G41" ca="1">_FV(Table9[[#This Row],[Stocks]],"Change % (Extended hours)",TRUE)</f>
        <v>-1.429E-4</v>
      </c>
      <c r="H41" s="7" cm="1">
        <f t="array" aca="1" ref="H41" ca="1">_FV(Table9[[#This Row],[Stocks]],"52 week high",TRUE)</f>
        <v>170.1</v>
      </c>
      <c r="I41" s="7" cm="1">
        <f t="array" aca="1" ref="I41" ca="1">_FV(Table9[[#This Row],[Stocks]],"52 week low",TRUE)</f>
        <v>110.38</v>
      </c>
      <c r="J41" s="9" cm="1">
        <f t="array" aca="1" ref="J41" ca="1">_FV(Table9[[#This Row],[Stocks]],"Volume")</f>
        <v>5616851</v>
      </c>
      <c r="K41" s="9" cm="1">
        <f t="array" aca="1" ref="K41" ca="1">_FV(Table9[[#This Row],[Stocks]],"Volume average",TRUE)</f>
        <v>5837920</v>
      </c>
      <c r="L41" s="9" cm="1">
        <f t="array" aca="1" ref="L41" ca="1">_FV(Table9[[#This Row],[Stocks]],"Shares outstanding",TRUE)</f>
        <v>630539600</v>
      </c>
      <c r="M41" s="38" cm="1">
        <f t="array" aca="1" ref="M41" ca="1">_FV(Table9[[#This Row],[Stocks]],"P/E",TRUE)</f>
        <v>32.718000000000004</v>
      </c>
      <c r="N41" s="6" cm="1">
        <f t="array" aca="1" ref="N41" ca="1">_FV(Table9[[#This Row],[Stocks]],"Year incorporated",TRUE)</f>
        <v>2008</v>
      </c>
      <c r="O41" s="7" t="str" cm="1">
        <f t="array" aca="1" ref="O41" ca="1">_FV(Table9[[#This Row],[Stocks]],"Exchange")</f>
        <v>Nasdaq Stock Market</v>
      </c>
      <c r="P41" s="7" t="str" cm="1">
        <f t="array" aca="1" ref="P41" ca="1">_FV(Table9[[#This Row],[Stocks]],"Headquarters")</f>
        <v>888 Brannan St., SAN FRANCISCO, CA, 94103 US</v>
      </c>
      <c r="Q41" t="s">
        <v>114</v>
      </c>
    </row>
    <row r="42" spans="1:17" x14ac:dyDescent="0.3">
      <c r="A42" t="e" vm="55">
        <v>#VALUE!</v>
      </c>
      <c r="B42" s="14" t="str" cm="1">
        <f t="array" aca="1" ref="B42" ca="1">_FV(Table9[[#This Row],[Stocks]],"Ticker symbol",TRUE)</f>
        <v>FUFU</v>
      </c>
      <c r="C42" t="str" cm="1">
        <f t="array" aca="1" ref="C42" ca="1">_FV(Table9[[#This Row],[Stocks]],"Industry")</f>
        <v>Financial Technology (Fintech) &amp; Infrastructure</v>
      </c>
      <c r="D42" s="3" cm="1">
        <f t="array" aca="1" ref="D42" ca="1">_FV(Table9[[#This Row],[Stocks]],"Market cap",TRUE)</f>
        <v>770527700</v>
      </c>
      <c r="E42" s="7" cm="1">
        <f t="array" aca="1" ref="E42" ca="1">_FV(Table9[[#This Row],[Stocks]],"Price")</f>
        <v>4.7300000000000004</v>
      </c>
      <c r="F42" s="10" cm="1">
        <f t="array" aca="1" ref="F42" ca="1">_FV(Table9[[#This Row],[Stocks]],"Change (%)",TRUE)</f>
        <v>-1.2525999999999999E-2</v>
      </c>
      <c r="G42" s="10" cm="1">
        <f t="array" aca="1" ref="G42" ca="1">_FV(Table9[[#This Row],[Stocks]],"Change % (Extended hours)",TRUE)</f>
        <v>0</v>
      </c>
      <c r="H42" s="7" cm="1">
        <f t="array" aca="1" ref="H42" ca="1">_FV(Table9[[#This Row],[Stocks]],"52 week high",TRUE)</f>
        <v>8.6699000000000002</v>
      </c>
      <c r="I42" s="7" cm="1">
        <f t="array" aca="1" ref="I42" ca="1">_FV(Table9[[#This Row],[Stocks]],"52 week low",TRUE)</f>
        <v>2.3199999999999998</v>
      </c>
      <c r="J42" s="9" cm="1">
        <f t="array" aca="1" ref="J42" ca="1">_FV(Table9[[#This Row],[Stocks]],"Volume")</f>
        <v>80643</v>
      </c>
      <c r="K42" s="9" cm="1">
        <f t="array" aca="1" ref="K42" ca="1">_FV(Table9[[#This Row],[Stocks]],"Volume average",TRUE)</f>
        <v>139914</v>
      </c>
      <c r="L42" s="9" cm="1">
        <f t="array" aca="1" ref="L42" ca="1">_FV(Table9[[#This Row],[Stocks]],"Shares outstanding",TRUE)</f>
        <v>162902300</v>
      </c>
      <c r="M42" s="38" cm="1">
        <f t="array" aca="1" ref="M42" ca="1">_FV(Table9[[#This Row],[Stocks]],"P/E",TRUE)</f>
        <v>20.8278</v>
      </c>
      <c r="N42" s="6" cm="1">
        <f t="array" aca="1" ref="N42" ca="1">_FV(Table9[[#This Row],[Stocks]],"Year incorporated",TRUE)</f>
        <v>2022</v>
      </c>
      <c r="O42" s="7" t="str" cm="1">
        <f t="array" aca="1" ref="O42" ca="1">_FV(Table9[[#This Row],[Stocks]],"Exchange")</f>
        <v>Nasdaq Stock Market</v>
      </c>
      <c r="P42" s="7" t="str" cm="1">
        <f t="array" aca="1" ref="P42" ca="1">_FV(Table9[[#This Row],[Stocks]],"Headquarters")</f>
        <v>111 North Bridge Road, #15-01, 179098 SG</v>
      </c>
      <c r="Q42" s="7" t="s">
        <v>31</v>
      </c>
    </row>
    <row r="43" spans="1:17" x14ac:dyDescent="0.3">
      <c r="A43" t="e" vm="56">
        <v>#VALUE!</v>
      </c>
      <c r="B43" s="14" t="str" cm="1">
        <f t="array" aca="1" ref="B43" ca="1">_FV(Table9[[#This Row],[Stocks]],"Ticker symbol",TRUE)</f>
        <v>MNDO</v>
      </c>
      <c r="C43" t="str" cm="1">
        <f t="array" aca="1" ref="C43" ca="1">_FV(Table9[[#This Row],[Stocks]],"Industry")</f>
        <v>Software &amp; IT Services</v>
      </c>
      <c r="D43" s="3" cm="1">
        <f t="array" aca="1" ref="D43" ca="1">_FV(Table9[[#This Row],[Stocks]],"Market cap",TRUE)</f>
        <v>40766478</v>
      </c>
      <c r="E43" s="7" cm="1">
        <f t="array" aca="1" ref="E43" ca="1">_FV(Table9[[#This Row],[Stocks]],"Price")</f>
        <v>2.0099999999999998</v>
      </c>
      <c r="F43" s="10" cm="1">
        <f t="array" aca="1" ref="F43" ca="1">_FV(Table9[[#This Row],[Stocks]],"Change (%)",TRUE)</f>
        <v>-7.4070000000000004E-3</v>
      </c>
      <c r="G43" s="10" cm="1">
        <f t="array" aca="1" ref="G43" ca="1">_FV(Table9[[#This Row],[Stocks]],"Change % (Extended hours)",TRUE)</f>
        <v>4.9750000000000003E-3</v>
      </c>
      <c r="H43" s="7" cm="1">
        <f t="array" aca="1" ref="H43" ca="1">_FV(Table9[[#This Row],[Stocks]],"52 week high",TRUE)</f>
        <v>2.2799999999999998</v>
      </c>
      <c r="I43" s="7" cm="1">
        <f t="array" aca="1" ref="I43" ca="1">_FV(Table9[[#This Row],[Stocks]],"52 week low",TRUE)</f>
        <v>1.7000999999999999</v>
      </c>
      <c r="J43" s="9" cm="1">
        <f t="array" aca="1" ref="J43" ca="1">_FV(Table9[[#This Row],[Stocks]],"Volume")</f>
        <v>31528</v>
      </c>
      <c r="K43" s="9" cm="1">
        <f t="array" aca="1" ref="K43" ca="1">_FV(Table9[[#This Row],[Stocks]],"Volume average",TRUE)</f>
        <v>50926</v>
      </c>
      <c r="L43" s="9" cm="1">
        <f t="array" aca="1" ref="L43" ca="1">_FV(Table9[[#This Row],[Stocks]],"Shares outstanding",TRUE)</f>
        <v>20281830</v>
      </c>
      <c r="M43" s="38" cm="1">
        <f t="array" aca="1" ref="M43" ca="1">_FV(Table9[[#This Row],[Stocks]],"P/E",TRUE)</f>
        <v>9.0241000000000007</v>
      </c>
      <c r="N43" s="6" cm="1">
        <f t="array" aca="1" ref="N43" ca="1">_FV(Table9[[#This Row],[Stocks]],"Year incorporated",TRUE)</f>
        <v>1995</v>
      </c>
      <c r="O43" s="7" t="str" cm="1">
        <f t="array" aca="1" ref="O43" ca="1">_FV(Table9[[#This Row],[Stocks]],"Exchange")</f>
        <v>Nasdaq Stock Market</v>
      </c>
      <c r="P43" s="7" t="str" cm="1">
        <f t="array" aca="1" ref="P43" ca="1">_FV(Table9[[#This Row],[Stocks]],"Headquarters")</f>
        <v>2 HaCarmel St., YOKNEAM, 2069202 IL</v>
      </c>
      <c r="Q43" s="7" t="s">
        <v>113</v>
      </c>
    </row>
    <row r="44" spans="1:17" x14ac:dyDescent="0.3">
      <c r="A44" t="e" vm="57">
        <v>#VALUE!</v>
      </c>
      <c r="B44" s="14" t="str" cm="1">
        <f t="array" aca="1" ref="B44" ca="1">_FV(Table9[[#This Row],[Stocks]],"Ticker symbol",TRUE)</f>
        <v>LPTH</v>
      </c>
      <c r="C44" t="str" cm="1">
        <f t="array" aca="1" ref="C44" ca="1">_FV(Table9[[#This Row],[Stocks]],"Industry")</f>
        <v>Office Equipment</v>
      </c>
      <c r="D44" s="3" cm="1">
        <f t="array" aca="1" ref="D44" ca="1">_FV(Table9[[#This Row],[Stocks]],"Market cap",TRUE)</f>
        <v>89458250</v>
      </c>
      <c r="E44" s="7" cm="1">
        <f t="array" aca="1" ref="E44" ca="1">_FV(Table9[[#This Row],[Stocks]],"Price")</f>
        <v>2.19</v>
      </c>
      <c r="F44" s="10" cm="1">
        <f t="array" aca="1" ref="F44" ca="1">_FV(Table9[[#This Row],[Stocks]],"Change (%)",TRUE)</f>
        <v>-3.5242000000000002E-2</v>
      </c>
      <c r="G44" s="10" cm="1">
        <f t="array" aca="1" ref="G44" ca="1">_FV(Table9[[#This Row],[Stocks]],"Change % (Extended hours)",TRUE)</f>
        <v>4.5659999999999997E-3</v>
      </c>
      <c r="H44" s="7" cm="1">
        <f t="array" aca="1" ref="H44" ca="1">_FV(Table9[[#This Row],[Stocks]],"52 week high",TRUE)</f>
        <v>4.42</v>
      </c>
      <c r="I44" s="7" cm="1">
        <f t="array" aca="1" ref="I44" ca="1">_FV(Table9[[#This Row],[Stocks]],"52 week low",TRUE)</f>
        <v>1.04</v>
      </c>
      <c r="J44" s="9" cm="1">
        <f t="array" aca="1" ref="J44" ca="1">_FV(Table9[[#This Row],[Stocks]],"Volume")</f>
        <v>181730</v>
      </c>
      <c r="K44" s="9" cm="1">
        <f t="array" aca="1" ref="K44" ca="1">_FV(Table9[[#This Row],[Stocks]],"Volume average",TRUE)</f>
        <v>338159</v>
      </c>
      <c r="L44" s="9" cm="1">
        <f t="array" aca="1" ref="L44" ca="1">_FV(Table9[[#This Row],[Stocks]],"Shares outstanding",TRUE)</f>
        <v>40848520</v>
      </c>
      <c r="M44" s="38" cm="1">
        <f t="array" aca="1" ref="M44" ca="1">_FV(Table9[[#This Row],[Stocks]],"P/E",TRUE)</f>
        <v>0</v>
      </c>
      <c r="N44" s="6" cm="1">
        <f t="array" aca="1" ref="N44" ca="1">_FV(Table9[[#This Row],[Stocks]],"Year incorporated",TRUE)</f>
        <v>1992</v>
      </c>
      <c r="O44" s="7" t="str" cm="1">
        <f t="array" aca="1" ref="O44" ca="1">_FV(Table9[[#This Row],[Stocks]],"Exchange")</f>
        <v>Nasdaq Stock Market</v>
      </c>
      <c r="P44" s="7" t="str" cm="1">
        <f t="array" aca="1" ref="P44" ca="1">_FV(Table9[[#This Row],[Stocks]],"Headquarters")</f>
        <v>SUITE 100, 2603 CHALLENGER TECH CT, ORLANDO, FL, 32826 US</v>
      </c>
      <c r="Q44" s="7" t="s">
        <v>114</v>
      </c>
    </row>
    <row r="45" spans="1:17" x14ac:dyDescent="0.3">
      <c r="A45" t="e" vm="58">
        <v>#VALUE!</v>
      </c>
      <c r="B45" s="14" t="str" cm="1">
        <f t="array" aca="1" ref="B45" ca="1">_FV(Table9[[#This Row],[Stocks]],"Ticker symbol",TRUE)</f>
        <v>EXFY</v>
      </c>
      <c r="C45" t="str" cm="1">
        <f t="array" aca="1" ref="C45" ca="1">_FV(Table9[[#This Row],[Stocks]],"Industry")</f>
        <v>Software &amp; IT Services</v>
      </c>
      <c r="D45" s="3" cm="1">
        <f t="array" aca="1" ref="D45" ca="1">_FV(Table9[[#This Row],[Stocks]],"Market cap",TRUE)</f>
        <v>324514517</v>
      </c>
      <c r="E45" s="7" cm="1">
        <f t="array" aca="1" ref="E45" ca="1">_FV(Table9[[#This Row],[Stocks]],"Price")</f>
        <v>3.55</v>
      </c>
      <c r="F45" s="10" cm="1">
        <f t="array" aca="1" ref="F45" ca="1">_FV(Table9[[#This Row],[Stocks]],"Change (%)",TRUE)</f>
        <v>-5.3333000000000005E-2</v>
      </c>
      <c r="G45" s="10" cm="1">
        <f t="array" aca="1" ref="G45" ca="1">_FV(Table9[[#This Row],[Stocks]],"Change % (Extended hours)",TRUE)</f>
        <v>-1.4085E-2</v>
      </c>
      <c r="H45" s="7" cm="1">
        <f t="array" aca="1" ref="H45" ca="1">_FV(Table9[[#This Row],[Stocks]],"52 week high",TRUE)</f>
        <v>4.13</v>
      </c>
      <c r="I45" s="7" cm="1">
        <f t="array" aca="1" ref="I45" ca="1">_FV(Table9[[#This Row],[Stocks]],"52 week low",TRUE)</f>
        <v>1.24</v>
      </c>
      <c r="J45" s="9" cm="1">
        <f t="array" aca="1" ref="J45" ca="1">_FV(Table9[[#This Row],[Stocks]],"Volume")</f>
        <v>491013</v>
      </c>
      <c r="K45" s="9" cm="1">
        <f t="array" aca="1" ref="K45" ca="1">_FV(Table9[[#This Row],[Stocks]],"Volume average",TRUE)</f>
        <v>498471</v>
      </c>
      <c r="L45" s="9" cm="1">
        <f t="array" aca="1" ref="L45" ca="1">_FV(Table9[[#This Row],[Stocks]],"Shares outstanding",TRUE)</f>
        <v>91412540</v>
      </c>
      <c r="M45" s="38" cm="1">
        <f t="array" aca="1" ref="M45" ca="1">_FV(Table9[[#This Row],[Stocks]],"P/E",TRUE)</f>
        <v>0</v>
      </c>
      <c r="N45" s="6" cm="1">
        <f t="array" aca="1" ref="N45" ca="1">_FV(Table9[[#This Row],[Stocks]],"Year incorporated",TRUE)</f>
        <v>2009</v>
      </c>
      <c r="O45" s="7" t="str" cm="1">
        <f t="array" aca="1" ref="O45" ca="1">_FV(Table9[[#This Row],[Stocks]],"Exchange")</f>
        <v>Nasdaq Stock Market</v>
      </c>
      <c r="P45" s="7" t="str" cm="1">
        <f t="array" aca="1" ref="P45" ca="1">_FV(Table9[[#This Row],[Stocks]],"Headquarters")</f>
        <v>401 Sw 5Th Avenue, PORTLAND, OR, 97204 US</v>
      </c>
      <c r="Q45" s="7" t="s">
        <v>114</v>
      </c>
    </row>
    <row r="46" spans="1:17" x14ac:dyDescent="0.3">
      <c r="A46" t="e" vm="59">
        <v>#VALUE!</v>
      </c>
      <c r="B46" s="14" t="str" cm="1">
        <f t="array" aca="1" ref="B46" ca="1">_FV(Table9[[#This Row],[Stocks]],"Ticker symbol",TRUE)</f>
        <v>VRME</v>
      </c>
      <c r="C46" t="str" cm="1">
        <f t="array" aca="1" ref="C46" ca="1">_FV(Table9[[#This Row],[Stocks]],"Industry")</f>
        <v>Software &amp; IT Services</v>
      </c>
      <c r="D46" s="3" cm="1">
        <f t="array" aca="1" ref="D46" ca="1">_FV(Table9[[#This Row],[Stocks]],"Market cap",TRUE)</f>
        <v>9016510</v>
      </c>
      <c r="E46" s="7" cm="1">
        <f t="array" aca="1" ref="E46" ca="1">_FV(Table9[[#This Row],[Stocks]],"Price")</f>
        <v>0.7298</v>
      </c>
      <c r="F46" s="10" cm="1">
        <f t="array" aca="1" ref="F46" ca="1">_FV(Table9[[#This Row],[Stocks]],"Change (%)",TRUE)</f>
        <v>-6.4958000000000002E-2</v>
      </c>
      <c r="G46" s="10" cm="1">
        <f t="array" aca="1" ref="G46" ca="1">_FV(Table9[[#This Row],[Stocks]],"Change % (Extended hours)",TRUE)</f>
        <v>4.1380999999999994E-2</v>
      </c>
      <c r="H46" s="7" cm="1">
        <f t="array" aca="1" ref="H46" ca="1">_FV(Table9[[#This Row],[Stocks]],"52 week high",TRUE)</f>
        <v>5</v>
      </c>
      <c r="I46" s="7" cm="1">
        <f t="array" aca="1" ref="I46" ca="1">_FV(Table9[[#This Row],[Stocks]],"52 week low",TRUE)</f>
        <v>0.57840000000000003</v>
      </c>
      <c r="J46" s="9" cm="1">
        <f t="array" aca="1" ref="J46" ca="1">_FV(Table9[[#This Row],[Stocks]],"Volume")</f>
        <v>800987</v>
      </c>
      <c r="K46" s="9" cm="1">
        <f t="array" aca="1" ref="K46" ca="1">_FV(Table9[[#This Row],[Stocks]],"Volume average",TRUE)</f>
        <v>748662</v>
      </c>
      <c r="L46" s="9" cm="1">
        <f t="array" aca="1" ref="L46" ca="1">_FV(Table9[[#This Row],[Stocks]],"Shares outstanding",TRUE)</f>
        <v>12354770</v>
      </c>
      <c r="M46" s="38" cm="1">
        <f t="array" aca="1" ref="M46" ca="1">_FV(Table9[[#This Row],[Stocks]],"P/E",TRUE)</f>
        <v>0</v>
      </c>
      <c r="N46" s="6" cm="1">
        <f t="array" aca="1" ref="N46" ca="1">_FV(Table9[[#This Row],[Stocks]],"Year incorporated",TRUE)</f>
        <v>1999</v>
      </c>
      <c r="O46" s="7" t="str" cm="1">
        <f t="array" aca="1" ref="O46" ca="1">_FV(Table9[[#This Row],[Stocks]],"Exchange")</f>
        <v>Nasdaq Stock Market</v>
      </c>
      <c r="P46" s="7" t="str" cm="1">
        <f t="array" aca="1" ref="P46" ca="1">_FV(Table9[[#This Row],[Stocks]],"Headquarters")</f>
        <v>801 INTERNATIONAL PARKWAY, FIFTH FLOOR, LAKE MARY, FL, 32746 US</v>
      </c>
      <c r="Q46" s="7" t="s">
        <v>114</v>
      </c>
    </row>
    <row r="47" spans="1:17" x14ac:dyDescent="0.3">
      <c r="A47" t="e" vm="60">
        <v>#VALUE!</v>
      </c>
      <c r="B47" s="14" t="str" cm="1">
        <f t="array" aca="1" ref="B47" ca="1">_FV(Table9[[#This Row],[Stocks]],"Ticker symbol",TRUE)</f>
        <v>BBAI</v>
      </c>
      <c r="C47" t="str" cm="1">
        <f t="array" aca="1" ref="C47" ca="1">_FV(Table9[[#This Row],[Stocks]],"Industry")</f>
        <v>Software &amp; IT Services</v>
      </c>
      <c r="D47" s="3" cm="1">
        <f t="array" aca="1" ref="D47" ca="1">_FV(Table9[[#This Row],[Stocks]],"Market cap",TRUE)</f>
        <v>840191700</v>
      </c>
      <c r="E47" s="7" cm="1">
        <f t="array" aca="1" ref="E47" ca="1">_FV(Table9[[#This Row],[Stocks]],"Price")</f>
        <v>3.37</v>
      </c>
      <c r="F47" s="10" cm="1">
        <f t="array" aca="1" ref="F47" ca="1">_FV(Table9[[#This Row],[Stocks]],"Change (%)",TRUE)</f>
        <v>-0.19761900000000002</v>
      </c>
      <c r="G47" s="10" cm="1">
        <f t="array" aca="1" ref="G47" ca="1">_FV(Table9[[#This Row],[Stocks]],"Change % (Extended hours)",TRUE)</f>
        <v>5.9880000000000003E-3</v>
      </c>
      <c r="H47" s="7" cm="1">
        <f t="array" aca="1" ref="H47" ca="1">_FV(Table9[[#This Row],[Stocks]],"52 week high",TRUE)</f>
        <v>10.36</v>
      </c>
      <c r="I47" s="7" cm="1">
        <f t="array" aca="1" ref="I47" ca="1">_FV(Table9[[#This Row],[Stocks]],"52 week low",TRUE)</f>
        <v>1.165</v>
      </c>
      <c r="J47" s="9" cm="1">
        <f t="array" aca="1" ref="J47" ca="1">_FV(Table9[[#This Row],[Stocks]],"Volume")</f>
        <v>78654641</v>
      </c>
      <c r="K47" s="9" cm="1">
        <f t="array" aca="1" ref="K47" ca="1">_FV(Table9[[#This Row],[Stocks]],"Volume average",TRUE)</f>
        <v>86258709</v>
      </c>
      <c r="L47" s="9" cm="1">
        <f t="array" aca="1" ref="L47" ca="1">_FV(Table9[[#This Row],[Stocks]],"Shares outstanding",TRUE)</f>
        <v>251554400</v>
      </c>
      <c r="M47" s="38" t="e" cm="1" vm="5">
        <f t="array" ref="M47">_FV(Table9[[#This Row],[Stocks]],"P/E",TRUE)</f>
        <v>#VALUE!</v>
      </c>
      <c r="N47" s="6" cm="1">
        <f t="array" aca="1" ref="N47" ca="1">_FV(Table9[[#This Row],[Stocks]],"Year incorporated",TRUE)</f>
        <v>2020</v>
      </c>
      <c r="O47" s="7" t="str" cm="1">
        <f t="array" aca="1" ref="O47" ca="1">_FV(Table9[[#This Row],[Stocks]],"Exchange")</f>
        <v>New York Stock Exchange</v>
      </c>
      <c r="P47" s="7" t="str" cm="1">
        <f t="array" aca="1" ref="P47" ca="1">_FV(Table9[[#This Row],[Stocks]],"Headquarters")</f>
        <v>7950 Jones Branch Drive, MCLEAN, VA, 22102 US</v>
      </c>
      <c r="Q47" s="7" t="s">
        <v>114</v>
      </c>
    </row>
    <row r="48" spans="1:17" x14ac:dyDescent="0.3">
      <c r="A48" t="e" vm="61">
        <v>#VALUE!</v>
      </c>
      <c r="B48" s="14" t="str" cm="1">
        <f t="array" aca="1" ref="B48" ca="1">_FV(Table9[[#This Row],[Stocks]],"Ticker symbol",TRUE)</f>
        <v>DJT</v>
      </c>
      <c r="C48" t="str" cm="1">
        <f t="array" aca="1" ref="C48" ca="1">_FV(Table9[[#This Row],[Stocks]],"Industry")</f>
        <v>Software &amp; IT Services</v>
      </c>
      <c r="D48" s="3" cm="1">
        <f t="array" aca="1" ref="D48" ca="1">_FV(Table9[[#This Row],[Stocks]],"Market cap",TRUE)</f>
        <v>4951471000</v>
      </c>
      <c r="E48" s="7" cm="1">
        <f t="array" aca="1" ref="E48" ca="1">_FV(Table9[[#This Row],[Stocks]],"Price")</f>
        <v>22.5</v>
      </c>
      <c r="F48" s="10" cm="1">
        <f t="array" aca="1" ref="F48" ca="1">_FV(Table9[[#This Row],[Stocks]],"Change (%)",TRUE)</f>
        <v>2.3658000000000002E-2</v>
      </c>
      <c r="G48" s="10" cm="1">
        <f t="array" aca="1" ref="G48" ca="1">_FV(Table9[[#This Row],[Stocks]],"Change % (Extended hours)",TRUE)</f>
        <v>0</v>
      </c>
      <c r="H48" s="7" cm="1">
        <f t="array" aca="1" ref="H48" ca="1">_FV(Table9[[#This Row],[Stocks]],"52 week high",TRUE)</f>
        <v>79.38</v>
      </c>
      <c r="I48" s="7" cm="1">
        <f t="array" aca="1" ref="I48" ca="1">_FV(Table9[[#This Row],[Stocks]],"52 week low",TRUE)</f>
        <v>11.75</v>
      </c>
      <c r="J48" s="9" cm="1">
        <f t="array" aca="1" ref="J48" ca="1">_FV(Table9[[#This Row],[Stocks]],"Volume")</f>
        <v>2541896</v>
      </c>
      <c r="K48" s="9" cm="1">
        <f t="array" aca="1" ref="K48" ca="1">_FV(Table9[[#This Row],[Stocks]],"Volume average",TRUE)</f>
        <v>4302200</v>
      </c>
      <c r="L48" s="9" cm="1">
        <f t="array" aca="1" ref="L48" ca="1">_FV(Table9[[#This Row],[Stocks]],"Shares outstanding",TRUE)</f>
        <v>220065400</v>
      </c>
      <c r="M48" s="38" cm="1">
        <f t="array" aca="1" ref="M48" ca="1">_FV(Table9[[#This Row],[Stocks]],"P/E",TRUE)</f>
        <v>0</v>
      </c>
      <c r="N48" s="6" cm="1">
        <f t="array" aca="1" ref="N48" ca="1">_FV(Table9[[#This Row],[Stocks]],"Year incorporated",TRUE)</f>
        <v>2020</v>
      </c>
      <c r="O48" s="7" t="str" cm="1">
        <f t="array" aca="1" ref="O48" ca="1">_FV(Table9[[#This Row],[Stocks]],"Exchange")</f>
        <v>Nasdaq Stock Market</v>
      </c>
      <c r="P48" s="7" t="str" cm="1">
        <f t="array" aca="1" ref="P48" ca="1">_FV(Table9[[#This Row],[Stocks]],"Headquarters")</f>
        <v>401 N. Cattlemen Rd., Ste. 200, SARASOTA, FL, 34232 US</v>
      </c>
      <c r="Q48" t="s">
        <v>114</v>
      </c>
    </row>
    <row r="49" spans="1:17" x14ac:dyDescent="0.3">
      <c r="A49" t="e" vm="62">
        <v>#VALUE!</v>
      </c>
      <c r="B49" s="14" t="str" cm="1">
        <f t="array" aca="1" ref="B49" ca="1">_FV(Table9[[#This Row],[Stocks]],"Ticker symbol",TRUE)</f>
        <v>RDDT</v>
      </c>
      <c r="C49" t="str" cm="1">
        <f t="array" aca="1" ref="C49" ca="1">_FV(Table9[[#This Row],[Stocks]],"Industry")</f>
        <v>Software &amp; IT Services</v>
      </c>
      <c r="D49" s="3" cm="1">
        <f t="array" aca="1" ref="D49" ca="1">_FV(Table9[[#This Row],[Stocks]],"Market cap",TRUE)</f>
        <v>24237560000</v>
      </c>
      <c r="E49" s="7" cm="1">
        <f t="array" aca="1" ref="E49" ca="1">_FV(Table9[[#This Row],[Stocks]],"Price")</f>
        <v>133.97999999999999</v>
      </c>
      <c r="F49" s="10" cm="1">
        <f t="array" aca="1" ref="F49" ca="1">_FV(Table9[[#This Row],[Stocks]],"Change (%)",TRUE)</f>
        <v>-0.111067</v>
      </c>
      <c r="G49" s="10" cm="1">
        <f t="array" aca="1" ref="G49" ca="1">_FV(Table9[[#This Row],[Stocks]],"Change % (Extended hours)",TRUE)</f>
        <v>-1.194E-3</v>
      </c>
      <c r="H49" s="7" cm="1">
        <f t="array" aca="1" ref="H49" ca="1">_FV(Table9[[#This Row],[Stocks]],"52 week high",TRUE)</f>
        <v>230.41</v>
      </c>
      <c r="I49" s="7" cm="1">
        <f t="array" aca="1" ref="I49" ca="1">_FV(Table9[[#This Row],[Stocks]],"52 week low",TRUE)</f>
        <v>37.35</v>
      </c>
      <c r="J49" s="9" cm="1">
        <f t="array" aca="1" ref="J49" ca="1">_FV(Table9[[#This Row],[Stocks]],"Volume")</f>
        <v>13834948</v>
      </c>
      <c r="K49" s="9" cm="1">
        <f t="array" aca="1" ref="K49" ca="1">_FV(Table9[[#This Row],[Stocks]],"Volume average",TRUE)</f>
        <v>7079252</v>
      </c>
      <c r="L49" s="9" cm="1">
        <f t="array" aca="1" ref="L49" ca="1">_FV(Table9[[#This Row],[Stocks]],"Shares outstanding",TRUE)</f>
        <v>180904300</v>
      </c>
      <c r="M49" s="38" t="e" cm="1" vm="5">
        <f t="array" ref="M49">_FV(Table9[[#This Row],[Stocks]],"P/E",TRUE)</f>
        <v>#VALUE!</v>
      </c>
      <c r="N49" s="6" cm="1">
        <f t="array" aca="1" ref="N49" ca="1">_FV(Table9[[#This Row],[Stocks]],"Year incorporated",TRUE)</f>
        <v>2011</v>
      </c>
      <c r="O49" s="7" t="str" cm="1">
        <f t="array" aca="1" ref="O49" ca="1">_FV(Table9[[#This Row],[Stocks]],"Exchange")</f>
        <v>New York Stock Exchange</v>
      </c>
      <c r="P49" s="7" t="str" cm="1">
        <f t="array" aca="1" ref="P49" ca="1">_FV(Table9[[#This Row],[Stocks]],"Headquarters")</f>
        <v>303 2Nd Street, South Tower, 5Th Floor, SAN FRANCISCO, CA, 94104 US</v>
      </c>
      <c r="Q49" s="7" t="s">
        <v>114</v>
      </c>
    </row>
    <row r="50" spans="1:17" x14ac:dyDescent="0.3">
      <c r="A50" t="e" vm="63">
        <v>#VALUE!</v>
      </c>
      <c r="B50" s="14" t="str" cm="1">
        <f t="array" aca="1" ref="B50" ca="1">_FV(Table9[[#This Row],[Stocks]],"Ticker symbol",TRUE)</f>
        <v>TMUS</v>
      </c>
      <c r="C50" t="str" cm="1">
        <f t="array" aca="1" ref="C50" ca="1">_FV(Table9[[#This Row],[Stocks]],"Industry")</f>
        <v>Telecommunications Services</v>
      </c>
      <c r="D50" s="3" cm="1">
        <f t="array" aca="1" ref="D50" ca="1">_FV(Table9[[#This Row],[Stocks]],"Market cap",TRUE)</f>
        <v>302836443800</v>
      </c>
      <c r="E50" s="7" cm="1">
        <f t="array" aca="1" ref="E50" ca="1">_FV(Table9[[#This Row],[Stocks]],"Price")</f>
        <v>265.24</v>
      </c>
      <c r="F50" s="10" cm="1">
        <f t="array" aca="1" ref="F50" ca="1">_FV(Table9[[#This Row],[Stocks]],"Change (%)",TRUE)</f>
        <v>8.7089999999999997E-3</v>
      </c>
      <c r="G50" s="10" cm="1">
        <f t="array" aca="1" ref="G50" ca="1">_FV(Table9[[#This Row],[Stocks]],"Change % (Extended hours)",TRUE)</f>
        <v>-9.4249999999999998E-4</v>
      </c>
      <c r="H50" s="7" cm="1">
        <f t="array" aca="1" ref="H50" ca="1">_FV(Table9[[#This Row],[Stocks]],"52 week high",TRUE)</f>
        <v>276.49</v>
      </c>
      <c r="I50" s="7" cm="1">
        <f t="array" aca="1" ref="I50" ca="1">_FV(Table9[[#This Row],[Stocks]],"52 week low",TRUE)</f>
        <v>158.84</v>
      </c>
      <c r="J50" s="9" cm="1">
        <f t="array" aca="1" ref="J50" ca="1">_FV(Table9[[#This Row],[Stocks]],"Volume")</f>
        <v>3289848</v>
      </c>
      <c r="K50" s="9" cm="1">
        <f t="array" aca="1" ref="K50" ca="1">_FV(Table9[[#This Row],[Stocks]],"Volume average",TRUE)</f>
        <v>3815100</v>
      </c>
      <c r="L50" s="9" cm="1">
        <f t="array" aca="1" ref="L50" ca="1">_FV(Table9[[#This Row],[Stocks]],"Shares outstanding",TRUE)</f>
        <v>1141745000</v>
      </c>
      <c r="M50" s="38" cm="1">
        <f t="array" aca="1" ref="M50" ca="1">_FV(Table9[[#This Row],[Stocks]],"P/E",TRUE)</f>
        <v>27.1968</v>
      </c>
      <c r="N50" s="6" cm="1">
        <f t="array" aca="1" ref="N50" ca="1">_FV(Table9[[#This Row],[Stocks]],"Year incorporated",TRUE)</f>
        <v>2004</v>
      </c>
      <c r="O50" s="7" t="str" cm="1">
        <f t="array" aca="1" ref="O50" ca="1">_FV(Table9[[#This Row],[Stocks]],"Exchange")</f>
        <v>Nasdaq Stock Market</v>
      </c>
      <c r="P50" s="7" t="str" cm="1">
        <f t="array" aca="1" ref="P50" ca="1">_FV(Table9[[#This Row],[Stocks]],"Headquarters")</f>
        <v>12920 Se 38Th Street, BELLEVUE, WA, 98006 US</v>
      </c>
    </row>
    <row r="51" spans="1:17" x14ac:dyDescent="0.3">
      <c r="A51" t="e" vm="64">
        <v>#VALUE!</v>
      </c>
      <c r="B51" s="14" t="str" cm="1">
        <f t="array" aca="1" ref="B51" ca="1">_FV(Table9[[#This Row],[Stocks]],"Ticker symbol",TRUE)</f>
        <v>TSLA</v>
      </c>
      <c r="C51" t="str" cm="1">
        <f t="array" aca="1" ref="C51" ca="1">_FV(Table9[[#This Row],[Stocks]],"Industry")</f>
        <v>Automobiles &amp; Auto Parts</v>
      </c>
      <c r="D51" s="3" cm="1">
        <f t="array" aca="1" ref="D51" ca="1">_FV(Table9[[#This Row],[Stocks]],"Market cap",TRUE)</f>
        <v>844882500000</v>
      </c>
      <c r="E51" s="7" cm="1">
        <f t="array" aca="1" ref="E51" ca="1">_FV(Table9[[#This Row],[Stocks]],"Price")</f>
        <v>262.67</v>
      </c>
      <c r="F51" s="10" cm="1">
        <f t="array" aca="1" ref="F51" ca="1">_FV(Table9[[#This Row],[Stocks]],"Change (%)",TRUE)</f>
        <v>-2.9609999999999997E-3</v>
      </c>
      <c r="G51" s="10" cm="1">
        <f t="array" aca="1" ref="G51" ca="1">_FV(Table9[[#This Row],[Stocks]],"Change % (Extended hours)",TRUE)</f>
        <v>-8.7560000000000003E-4</v>
      </c>
      <c r="H51" s="7" cm="1">
        <f t="array" aca="1" ref="H51" ca="1">_FV(Table9[[#This Row],[Stocks]],"52 week high",TRUE)</f>
        <v>488.53989999999999</v>
      </c>
      <c r="I51" s="7" cm="1">
        <f t="array" aca="1" ref="I51" ca="1">_FV(Table9[[#This Row],[Stocks]],"52 week low",TRUE)</f>
        <v>138.80250000000001</v>
      </c>
      <c r="J51" s="9" cm="1">
        <f t="array" aca="1" ref="J51" ca="1">_FV(Table9[[#This Row],[Stocks]],"Volume")</f>
        <v>102369640</v>
      </c>
      <c r="K51" s="9" cm="1">
        <f t="array" aca="1" ref="K51" ca="1">_FV(Table9[[#This Row],[Stocks]],"Volume average",TRUE)</f>
        <v>87952145</v>
      </c>
      <c r="L51" s="9" cm="1">
        <f t="array" aca="1" ref="L51" ca="1">_FV(Table9[[#This Row],[Stocks]],"Shares outstanding",TRUE)</f>
        <v>3216517000</v>
      </c>
      <c r="M51" s="38" cm="1">
        <f t="array" aca="1" ref="M51" ca="1">_FV(Table9[[#This Row],[Stocks]],"P/E",TRUE)</f>
        <v>128.96209999999999</v>
      </c>
      <c r="N51" s="6" cm="1">
        <f t="array" aca="1" ref="N51" ca="1">_FV(Table9[[#This Row],[Stocks]],"Year incorporated",TRUE)</f>
        <v>2024</v>
      </c>
      <c r="O51" s="7" t="str" cm="1">
        <f t="array" aca="1" ref="O51" ca="1">_FV(Table9[[#This Row],[Stocks]],"Exchange")</f>
        <v>Nasdaq Stock Market</v>
      </c>
      <c r="P51" s="7" t="str" cm="1">
        <f t="array" aca="1" ref="P51" ca="1">_FV(Table9[[#This Row],[Stocks]],"Headquarters")</f>
        <v>1 Tesla Road, AUSTIN, TX, 78725 US</v>
      </c>
      <c r="Q51" t="s">
        <v>114</v>
      </c>
    </row>
    <row r="52" spans="1:17" x14ac:dyDescent="0.3">
      <c r="A52" t="e" vm="65">
        <v>#VALUE!</v>
      </c>
      <c r="B52" s="14" t="str" cm="1">
        <f t="array" aca="1" ref="B52" ca="1">_FV(Table9[[#This Row],[Stocks]],"Ticker symbol",TRUE)</f>
        <v>MSFT</v>
      </c>
      <c r="C52" t="str" cm="1">
        <f t="array" aca="1" ref="C52" ca="1">_FV(Table9[[#This Row],[Stocks]],"Industry")</f>
        <v>Software &amp; IT Services</v>
      </c>
      <c r="D52" s="3" cm="1">
        <f t="array" aca="1" ref="D52" ca="1">_FV(Table9[[#This Row],[Stocks]],"Market cap",TRUE)</f>
        <v>2923860000000</v>
      </c>
      <c r="E52" s="7" cm="1">
        <f t="array" aca="1" ref="E52" ca="1">_FV(Table9[[#This Row],[Stocks]],"Price")</f>
        <v>393.31</v>
      </c>
      <c r="F52" s="10" cm="1">
        <f t="array" aca="1" ref="F52" ca="1">_FV(Table9[[#This Row],[Stocks]],"Change (%)",TRUE)</f>
        <v>-9.0200000000000002E-3</v>
      </c>
      <c r="G52" s="10" cm="1">
        <f t="array" aca="1" ref="G52" ca="1">_FV(Table9[[#This Row],[Stocks]],"Change % (Extended hours)",TRUE)</f>
        <v>-1.9070000000000001E-3</v>
      </c>
      <c r="H52" s="7" cm="1">
        <f t="array" aca="1" ref="H52" ca="1">_FV(Table9[[#This Row],[Stocks]],"52 week high",TRUE)</f>
        <v>468.35</v>
      </c>
      <c r="I52" s="7" cm="1">
        <f t="array" aca="1" ref="I52" ca="1">_FV(Table9[[#This Row],[Stocks]],"52 week low",TRUE)</f>
        <v>381</v>
      </c>
      <c r="J52" s="9" cm="1">
        <f t="array" aca="1" ref="J52" ca="1">_FV(Table9[[#This Row],[Stocks]],"Volume")</f>
        <v>22034087</v>
      </c>
      <c r="K52" s="9" cm="1">
        <f t="array" aca="1" ref="K52" ca="1">_FV(Table9[[#This Row],[Stocks]],"Volume average",TRUE)</f>
        <v>24814655</v>
      </c>
      <c r="L52" s="9" cm="1">
        <f t="array" aca="1" ref="L52" ca="1">_FV(Table9[[#This Row],[Stocks]],"Shares outstanding",TRUE)</f>
        <v>7433982000</v>
      </c>
      <c r="M52" s="38" cm="1">
        <f t="array" aca="1" ref="M52" ca="1">_FV(Table9[[#This Row],[Stocks]],"P/E",TRUE)</f>
        <v>31.681799999999999</v>
      </c>
      <c r="N52" s="6" cm="1">
        <f t="array" aca="1" ref="N52" ca="1">_FV(Table9[[#This Row],[Stocks]],"Year incorporated",TRUE)</f>
        <v>1993</v>
      </c>
      <c r="O52" s="7" t="str" cm="1">
        <f t="array" aca="1" ref="O52" ca="1">_FV(Table9[[#This Row],[Stocks]],"Exchange")</f>
        <v>Nasdaq Stock Market</v>
      </c>
      <c r="P52" s="7" t="str" cm="1">
        <f t="array" aca="1" ref="P52" ca="1">_FV(Table9[[#This Row],[Stocks]],"Headquarters")</f>
        <v>One Microsoft Way, REDMOND, WA, 98052-6399 US</v>
      </c>
    </row>
    <row r="53" spans="1:17" x14ac:dyDescent="0.3">
      <c r="A53" t="e" vm="66">
        <v>#VALUE!</v>
      </c>
      <c r="B53" s="14" t="str" cm="1">
        <f t="array" aca="1" ref="B53" ca="1">_FV(Table9[[#This Row],[Stocks]],"Ticker symbol",TRUE)</f>
        <v>AMD</v>
      </c>
      <c r="C53" t="str" cm="1">
        <f t="array" aca="1" ref="C53" ca="1">_FV(Table9[[#This Row],[Stocks]],"Industry")</f>
        <v>Semiconductors &amp; Semiconductor Equipment</v>
      </c>
      <c r="D53" s="3" cm="1">
        <f t="array" aca="1" ref="D53" ca="1">_FV(Table9[[#This Row],[Stocks]],"Market cap",TRUE)</f>
        <v>162550100000</v>
      </c>
      <c r="E53" s="7" cm="1">
        <f t="array" aca="1" ref="E53" ca="1">_FV(Table9[[#This Row],[Stocks]],"Price")</f>
        <v>100.31</v>
      </c>
      <c r="F53" s="10" cm="1">
        <f t="array" aca="1" ref="F53" ca="1">_FV(Table9[[#This Row],[Stocks]],"Change (%)",TRUE)</f>
        <v>1.477E-2</v>
      </c>
      <c r="G53" s="10" cm="1">
        <f t="array" aca="1" ref="G53" ca="1">_FV(Table9[[#This Row],[Stocks]],"Change % (Extended hours)",TRUE)</f>
        <v>-1.9940000000000001E-3</v>
      </c>
      <c r="H53" s="7" cm="1">
        <f t="array" aca="1" ref="H53" ca="1">_FV(Table9[[#This Row],[Stocks]],"52 week high",TRUE)</f>
        <v>227.3</v>
      </c>
      <c r="I53" s="7" cm="1">
        <f t="array" aca="1" ref="I53" ca="1">_FV(Table9[[#This Row],[Stocks]],"52 week low",TRUE)</f>
        <v>95.89</v>
      </c>
      <c r="J53" s="9" cm="1">
        <f t="array" aca="1" ref="J53" ca="1">_FV(Table9[[#This Row],[Stocks]],"Volume")</f>
        <v>33254367</v>
      </c>
      <c r="K53" s="9" cm="1">
        <f t="array" aca="1" ref="K53" ca="1">_FV(Table9[[#This Row],[Stocks]],"Volume average",TRUE)</f>
        <v>40760835</v>
      </c>
      <c r="L53" s="9" cm="1">
        <f t="array" aca="1" ref="L53" ca="1">_FV(Table9[[#This Row],[Stocks]],"Shares outstanding",TRUE)</f>
        <v>1620478000</v>
      </c>
      <c r="M53" s="38" cm="1">
        <f t="array" aca="1" ref="M53" ca="1">_FV(Table9[[#This Row],[Stocks]],"P/E",TRUE)</f>
        <v>99.99</v>
      </c>
      <c r="N53" s="6" cm="1">
        <f t="array" aca="1" ref="N53" ca="1">_FV(Table9[[#This Row],[Stocks]],"Year incorporated",TRUE)</f>
        <v>1969</v>
      </c>
      <c r="O53" s="7" t="str" cm="1">
        <f t="array" aca="1" ref="O53" ca="1">_FV(Table9[[#This Row],[Stocks]],"Exchange")</f>
        <v>Nasdaq Stock Market</v>
      </c>
      <c r="P53" s="7" t="str" cm="1">
        <f t="array" aca="1" ref="P53" ca="1">_FV(Table9[[#This Row],[Stocks]],"Headquarters")</f>
        <v>2485 Augustine Drive, SANTA CLARA, CA, 95054 US</v>
      </c>
    </row>
    <row r="54" spans="1:17" x14ac:dyDescent="0.3">
      <c r="A54" t="e" vm="67">
        <v>#VALUE!</v>
      </c>
      <c r="B54" s="14" t="str" cm="1">
        <f t="array" aca="1" ref="B54" ca="1">_FV(Table9[[#This Row],[Stocks]],"Ticker symbol",TRUE)</f>
        <v>AMZN</v>
      </c>
      <c r="C54" t="str" cm="1">
        <f t="array" aca="1" ref="C54" ca="1">_FV(Table9[[#This Row],[Stocks]],"Industry")</f>
        <v>Diversified Retail</v>
      </c>
      <c r="D54" s="3" cm="1">
        <f t="array" aca="1" ref="D54" ca="1">_FV(Table9[[#This Row],[Stocks]],"Market cap",TRUE)</f>
        <v>2111598000000</v>
      </c>
      <c r="E54" s="7" cm="1">
        <f t="array" aca="1" ref="E54" ca="1">_FV(Table9[[#This Row],[Stocks]],"Price")</f>
        <v>199.25</v>
      </c>
      <c r="F54" s="10" cm="1">
        <f t="array" aca="1" ref="F54" ca="1">_FV(Table9[[#This Row],[Stocks]],"Change (%)",TRUE)</f>
        <v>-7.2250000000000005E-3</v>
      </c>
      <c r="G54" s="10" cm="1">
        <f t="array" aca="1" ref="G54" ca="1">_FV(Table9[[#This Row],[Stocks]],"Change % (Extended hours)",TRUE)</f>
        <v>-1.0040000000000001E-3</v>
      </c>
      <c r="H54" s="7" cm="1">
        <f t="array" aca="1" ref="H54" ca="1">_FV(Table9[[#This Row],[Stocks]],"52 week high",TRUE)</f>
        <v>242.52</v>
      </c>
      <c r="I54" s="7" cm="1">
        <f t="array" aca="1" ref="I54" ca="1">_FV(Table9[[#This Row],[Stocks]],"52 week low",TRUE)</f>
        <v>151.61000000000001</v>
      </c>
      <c r="J54" s="9" cm="1">
        <f t="array" aca="1" ref="J54" ca="1">_FV(Table9[[#This Row],[Stocks]],"Volume")</f>
        <v>59802821</v>
      </c>
      <c r="K54" s="9" cm="1">
        <f t="array" aca="1" ref="K54" ca="1">_FV(Table9[[#This Row],[Stocks]],"Volume average",TRUE)</f>
        <v>41767076</v>
      </c>
      <c r="L54" s="9" cm="1">
        <f t="array" aca="1" ref="L54" ca="1">_FV(Table9[[#This Row],[Stocks]],"Shares outstanding",TRUE)</f>
        <v>10597730000</v>
      </c>
      <c r="M54" s="38" cm="1">
        <f t="array" aca="1" ref="M54" ca="1">_FV(Table9[[#This Row],[Stocks]],"P/E",TRUE)</f>
        <v>36.081000000000003</v>
      </c>
      <c r="N54" s="6" cm="1">
        <f t="array" aca="1" ref="N54" ca="1">_FV(Table9[[#This Row],[Stocks]],"Year incorporated",TRUE)</f>
        <v>1996</v>
      </c>
      <c r="O54" s="7" t="str" cm="1">
        <f t="array" aca="1" ref="O54" ca="1">_FV(Table9[[#This Row],[Stocks]],"Exchange")</f>
        <v>Nasdaq Stock Market</v>
      </c>
      <c r="P54" s="7" t="str" cm="1">
        <f t="array" aca="1" ref="P54" ca="1">_FV(Table9[[#This Row],[Stocks]],"Headquarters")</f>
        <v>410 Terry Avenue North, SEATTLE, WA, 98109 US</v>
      </c>
      <c r="Q54" t="s">
        <v>114</v>
      </c>
    </row>
    <row r="55" spans="1:17" x14ac:dyDescent="0.3">
      <c r="A55" t="e" vm="68">
        <v>#VALUE!</v>
      </c>
      <c r="B55" s="14" t="str" cm="1">
        <f t="array" aca="1" ref="B55" ca="1">_FV(Table9[[#This Row],[Stocks]],"Ticker symbol",TRUE)</f>
        <v>NVDA</v>
      </c>
      <c r="C55" t="str" cm="1">
        <f t="array" aca="1" ref="C55" ca="1">_FV(Table9[[#This Row],[Stocks]],"Industry")</f>
        <v>Semiconductors &amp; Semiconductor Equipment</v>
      </c>
      <c r="D55" s="3" cm="1">
        <f t="array" aca="1" ref="D55" ca="1">_FV(Table9[[#This Row],[Stocks]],"Market cap",TRUE)</f>
        <v>2749636000000</v>
      </c>
      <c r="E55" s="7" cm="1">
        <f t="array" aca="1" ref="E55" ca="1">_FV(Table9[[#This Row],[Stocks]],"Price")</f>
        <v>112.69</v>
      </c>
      <c r="F55" s="10" cm="1">
        <f t="array" aca="1" ref="F55" ca="1">_FV(Table9[[#This Row],[Stocks]],"Change (%)",TRUE)</f>
        <v>1.9172999999999999E-2</v>
      </c>
      <c r="G55" s="10" cm="1">
        <f t="array" aca="1" ref="G55" ca="1">_FV(Table9[[#This Row],[Stocks]],"Change % (Extended hours)",TRUE)</f>
        <v>-4.7920000000000003E-3</v>
      </c>
      <c r="H55" s="7" cm="1">
        <f t="array" aca="1" ref="H55" ca="1">_FV(Table9[[#This Row],[Stocks]],"52 week high",TRUE)</f>
        <v>153.13</v>
      </c>
      <c r="I55" s="7" cm="1">
        <f t="array" aca="1" ref="I55" ca="1">_FV(Table9[[#This Row],[Stocks]],"52 week low",TRUE)</f>
        <v>75.605999999999995</v>
      </c>
      <c r="J55" s="9" cm="1">
        <f t="array" aca="1" ref="J55" ca="1">_FV(Table9[[#This Row],[Stocks]],"Volume")</f>
        <v>341755468</v>
      </c>
      <c r="K55" s="9" cm="1">
        <f t="array" aca="1" ref="K55" ca="1">_FV(Table9[[#This Row],[Stocks]],"Volume average",TRUE)</f>
        <v>278178921</v>
      </c>
      <c r="L55" s="9" cm="1">
        <f t="array" aca="1" ref="L55" ca="1">_FV(Table9[[#This Row],[Stocks]],"Shares outstanding",TRUE)</f>
        <v>24400000000</v>
      </c>
      <c r="M55" s="38" cm="1">
        <f t="array" aca="1" ref="M55" ca="1">_FV(Table9[[#This Row],[Stocks]],"P/E",TRUE)</f>
        <v>38.336500000000001</v>
      </c>
      <c r="N55" s="6" cm="1">
        <f t="array" aca="1" ref="N55" ca="1">_FV(Table9[[#This Row],[Stocks]],"Year incorporated",TRUE)</f>
        <v>1998</v>
      </c>
      <c r="O55" s="7" t="str" cm="1">
        <f t="array" aca="1" ref="O55" ca="1">_FV(Table9[[#This Row],[Stocks]],"Exchange")</f>
        <v>Nasdaq Stock Market</v>
      </c>
      <c r="P55" s="7" t="str" cm="1">
        <f t="array" aca="1" ref="P55" ca="1">_FV(Table9[[#This Row],[Stocks]],"Headquarters")</f>
        <v>2788 San Tomas Expressway, SANTA CLARA, CA, 95051 US</v>
      </c>
      <c r="Q55" t="s">
        <v>114</v>
      </c>
    </row>
    <row r="56" spans="1:17" x14ac:dyDescent="0.3">
      <c r="A56" t="e" vm="69">
        <v>#VALUE!</v>
      </c>
      <c r="B56" s="14" t="str" cm="1">
        <f t="array" aca="1" ref="B56" ca="1">_FV(Table9[[#This Row],[Stocks]],"Ticker symbol",TRUE)</f>
        <v>SMR</v>
      </c>
      <c r="C56" t="str" cm="1">
        <f t="array" aca="1" ref="C56" ca="1">_FV(Table9[[#This Row],[Stocks]],"Industry")</f>
        <v>Electrical Utilities &amp; IPPs</v>
      </c>
      <c r="D56" s="3" cm="1">
        <f t="array" aca="1" ref="D56" ca="1">_FV(Table9[[#This Row],[Stocks]],"Market cap",TRUE)</f>
        <v>4414386000</v>
      </c>
      <c r="E56" s="7" cm="1">
        <f t="array" aca="1" ref="E56" ca="1">_FV(Table9[[#This Row],[Stocks]],"Price")</f>
        <v>15.63</v>
      </c>
      <c r="F56" s="10" cm="1">
        <f t="array" aca="1" ref="F56" ca="1">_FV(Table9[[#This Row],[Stocks]],"Change (%)",TRUE)</f>
        <v>-2.0063000000000001E-2</v>
      </c>
      <c r="G56" s="10" cm="1">
        <f t="array" aca="1" ref="G56" ca="1">_FV(Table9[[#This Row],[Stocks]],"Change % (Extended hours)",TRUE)</f>
        <v>-2.5590000000000001E-3</v>
      </c>
      <c r="H56" s="7" cm="1">
        <f t="array" aca="1" ref="H56" ca="1">_FV(Table9[[#This Row],[Stocks]],"52 week high",TRUE)</f>
        <v>32.299999999999997</v>
      </c>
      <c r="I56" s="7" cm="1">
        <f t="array" aca="1" ref="I56" ca="1">_FV(Table9[[#This Row],[Stocks]],"52 week low",TRUE)</f>
        <v>3.79</v>
      </c>
      <c r="J56" s="9" cm="1">
        <f t="array" aca="1" ref="J56" ca="1">_FV(Table9[[#This Row],[Stocks]],"Volume")</f>
        <v>11056370</v>
      </c>
      <c r="K56" s="9" cm="1">
        <f t="array" aca="1" ref="K56" ca="1">_FV(Table9[[#This Row],[Stocks]],"Volume average",TRUE)</f>
        <v>11912500</v>
      </c>
      <c r="L56" s="9" cm="1">
        <f t="array" aca="1" ref="L56" ca="1">_FV(Table9[[#This Row],[Stocks]],"Shares outstanding",TRUE)</f>
        <v>282430300</v>
      </c>
      <c r="M56" s="38" t="e" cm="1" vm="5">
        <f t="array" ref="M56">_FV(Table9[[#This Row],[Stocks]],"P/E",TRUE)</f>
        <v>#VALUE!</v>
      </c>
      <c r="N56" s="6" cm="1">
        <f t="array" aca="1" ref="N56" ca="1">_FV(Table9[[#This Row],[Stocks]],"Year incorporated",TRUE)</f>
        <v>2022</v>
      </c>
      <c r="O56" s="7" t="str" cm="1">
        <f t="array" aca="1" ref="O56" ca="1">_FV(Table9[[#This Row],[Stocks]],"Exchange")</f>
        <v>New York Stock Exchange</v>
      </c>
      <c r="P56" s="7" t="str" cm="1">
        <f t="array" aca="1" ref="P56" ca="1">_FV(Table9[[#This Row],[Stocks]],"Headquarters")</f>
        <v>1100 Ne Circle Blvd., Suite 200, CORVALLIS, OR, 97330 US</v>
      </c>
      <c r="Q56" s="7" t="s">
        <v>114</v>
      </c>
    </row>
    <row r="57" spans="1:17" x14ac:dyDescent="0.3">
      <c r="A57" t="e" vm="70">
        <v>#VALUE!</v>
      </c>
      <c r="B57" s="14" t="str" cm="1">
        <f t="array" aca="1" ref="B57" ca="1">_FV(Table9[[#This Row],[Stocks]],"Ticker symbol",TRUE)</f>
        <v>ACHR</v>
      </c>
      <c r="C57" t="str" cm="1">
        <f t="array" aca="1" ref="C57" ca="1">_FV(Table9[[#This Row],[Stocks]],"Industry")</f>
        <v>Aerospace &amp; Defense</v>
      </c>
      <c r="D57" s="3" cm="1">
        <f t="array" aca="1" ref="D57" ca="1">_FV(Table9[[#This Row],[Stocks]],"Market cap",TRUE)</f>
        <v>4079376000</v>
      </c>
      <c r="E57" s="7" cm="1">
        <f t="array" aca="1" ref="E57" ca="1">_FV(Table9[[#This Row],[Stocks]],"Price")</f>
        <v>7.52</v>
      </c>
      <c r="F57" s="10" cm="1">
        <f t="array" aca="1" ref="F57" ca="1">_FV(Table9[[#This Row],[Stocks]],"Change (%)",TRUE)</f>
        <v>-5.2910000000000006E-3</v>
      </c>
      <c r="G57" s="10" cm="1">
        <f t="array" aca="1" ref="G57" ca="1">_FV(Table9[[#This Row],[Stocks]],"Change % (Extended hours)",TRUE)</f>
        <v>-2.673E-3</v>
      </c>
      <c r="H57" s="7" cm="1">
        <f t="array" aca="1" ref="H57" ca="1">_FV(Table9[[#This Row],[Stocks]],"52 week high",TRUE)</f>
        <v>12.475</v>
      </c>
      <c r="I57" s="7" cm="1">
        <f t="array" aca="1" ref="I57" ca="1">_FV(Table9[[#This Row],[Stocks]],"52 week low",TRUE)</f>
        <v>2.8206000000000002</v>
      </c>
      <c r="J57" s="9" cm="1">
        <f t="array" aca="1" ref="J57" ca="1">_FV(Table9[[#This Row],[Stocks]],"Volume")</f>
        <v>24737318</v>
      </c>
      <c r="K57" s="9" cm="1">
        <f t="array" aca="1" ref="K57" ca="1">_FV(Table9[[#This Row],[Stocks]],"Volume average",TRUE)</f>
        <v>34613305</v>
      </c>
      <c r="L57" s="9" cm="1">
        <f t="array" aca="1" ref="L57" ca="1">_FV(Table9[[#This Row],[Stocks]],"Shares outstanding",TRUE)</f>
        <v>542470300</v>
      </c>
      <c r="M57" s="38" t="e" cm="1" vm="5">
        <f t="array" ref="M57">_FV(Table9[[#This Row],[Stocks]],"P/E",TRUE)</f>
        <v>#VALUE!</v>
      </c>
      <c r="N57" s="6" cm="1">
        <f t="array" aca="1" ref="N57" ca="1">_FV(Table9[[#This Row],[Stocks]],"Year incorporated",TRUE)</f>
        <v>2020</v>
      </c>
      <c r="O57" s="7" t="str" cm="1">
        <f t="array" aca="1" ref="O57" ca="1">_FV(Table9[[#This Row],[Stocks]],"Exchange")</f>
        <v>New York Stock Exchange</v>
      </c>
      <c r="P57" s="7" t="str" cm="1">
        <f t="array" aca="1" ref="P57" ca="1">_FV(Table9[[#This Row],[Stocks]],"Headquarters")</f>
        <v>190 West Tasman Drive, SAN JOSE, CA, 95134 US</v>
      </c>
      <c r="Q57" s="7" t="s">
        <v>114</v>
      </c>
    </row>
    <row r="58" spans="1:17" x14ac:dyDescent="0.3">
      <c r="A58" t="e" vm="71">
        <v>#VALUE!</v>
      </c>
      <c r="B58" s="14" t="str" cm="1">
        <f t="array" aca="1" ref="B58" ca="1">_FV(Table9[[#This Row],[Stocks]],"Ticker symbol",TRUE)</f>
        <v>SPCB</v>
      </c>
      <c r="C58" t="str" cm="1">
        <f t="array" aca="1" ref="C58" ca="1">_FV(Table9[[#This Row],[Stocks]],"Industry")</f>
        <v>Software &amp; IT Services</v>
      </c>
      <c r="D58" s="3" cm="1">
        <f t="array" aca="1" ref="D58" ca="1">_FV(Table9[[#This Row],[Stocks]],"Market cap",TRUE)</f>
        <v>12149580</v>
      </c>
      <c r="E58" s="7" cm="1">
        <f t="array" aca="1" ref="E58" ca="1">_FV(Table9[[#This Row],[Stocks]],"Price")</f>
        <v>7.07</v>
      </c>
      <c r="F58" s="10" cm="1">
        <f t="array" aca="1" ref="F58" ca="1">_FV(Table9[[#This Row],[Stocks]],"Change (%)",TRUE)</f>
        <v>-6.2333999999999994E-2</v>
      </c>
      <c r="G58" s="10" cm="1">
        <f t="array" aca="1" ref="G58" ca="1">_FV(Table9[[#This Row],[Stocks]],"Change % (Extended hours)",TRUE)</f>
        <v>5.7992000000000002E-2</v>
      </c>
      <c r="H58" s="7" cm="1">
        <f t="array" aca="1" ref="H58" ca="1">_FV(Table9[[#This Row],[Stocks]],"52 week high",TRUE)</f>
        <v>18.95</v>
      </c>
      <c r="I58" s="7" cm="1">
        <f t="array" aca="1" ref="I58" ca="1">_FV(Table9[[#This Row],[Stocks]],"52 week low",TRUE)</f>
        <v>2.5499999999999998</v>
      </c>
      <c r="J58" s="9" cm="1">
        <f t="array" aca="1" ref="J58" ca="1">_FV(Table9[[#This Row],[Stocks]],"Volume")</f>
        <v>245296</v>
      </c>
      <c r="K58" s="9" cm="1">
        <f t="array" aca="1" ref="K58" ca="1">_FV(Table9[[#This Row],[Stocks]],"Volume average",TRUE)</f>
        <v>314559</v>
      </c>
      <c r="L58" s="9" cm="1">
        <f t="array" aca="1" ref="L58" ca="1">_FV(Table9[[#This Row],[Stocks]],"Shares outstanding",TRUE)</f>
        <v>1718470</v>
      </c>
      <c r="M58" s="38" cm="1">
        <f t="array" aca="1" ref="M58" ca="1">_FV(Table9[[#This Row],[Stocks]],"P/E",TRUE)</f>
        <v>0</v>
      </c>
      <c r="N58" s="6" cm="1">
        <f t="array" aca="1" ref="N58" ca="1">_FV(Table9[[#This Row],[Stocks]],"Year incorporated",TRUE)</f>
        <v>1988</v>
      </c>
      <c r="O58" s="7" t="str" cm="1">
        <f t="array" aca="1" ref="O58" ca="1">_FV(Table9[[#This Row],[Stocks]],"Exchange")</f>
        <v>Nasdaq Stock Market</v>
      </c>
      <c r="P58" s="7" t="str" cm="1">
        <f t="array" aca="1" ref="P58" ca="1">_FV(Table9[[#This Row],[Stocks]],"Headquarters")</f>
        <v>3, Rothschild Blvd., TEL AVIV-YAFO, 6688106 IL</v>
      </c>
      <c r="Q58" s="7" t="s">
        <v>113</v>
      </c>
    </row>
    <row r="59" spans="1:17" x14ac:dyDescent="0.3">
      <c r="A59" t="e" vm="72">
        <v>#VALUE!</v>
      </c>
      <c r="B59" s="14" t="str" cm="1">
        <f t="array" aca="1" ref="B59" ca="1">_FV(Table9[[#This Row],[Stocks]],"Ticker symbol",TRUE)</f>
        <v>CVNA</v>
      </c>
      <c r="C59" t="str" cm="1">
        <f t="array" aca="1" ref="C59" ca="1">_FV(Table9[[#This Row],[Stocks]],"Industry")</f>
        <v>Specialty Retailers</v>
      </c>
      <c r="D59" s="3" cm="1">
        <f t="array" aca="1" ref="D59" ca="1">_FV(Table9[[#This Row],[Stocks]],"Market cap",TRUE)</f>
        <v>40179420000</v>
      </c>
      <c r="E59" s="7" cm="1">
        <f t="array" aca="1" ref="E59" ca="1">_FV(Table9[[#This Row],[Stocks]],"Price")</f>
        <v>188.57</v>
      </c>
      <c r="F59" s="10" cm="1">
        <f t="array" aca="1" ref="F59" ca="1">_FV(Table9[[#This Row],[Stocks]],"Change (%)",TRUE)</f>
        <v>9.2049999999999996E-3</v>
      </c>
      <c r="G59" s="10" cm="1">
        <f t="array" aca="1" ref="G59" ca="1">_FV(Table9[[#This Row],[Stocks]],"Change % (Extended hours)",TRUE)</f>
        <v>-7.8000000000000005E-3</v>
      </c>
      <c r="H59" s="7" cm="1">
        <f t="array" aca="1" ref="H59" ca="1">_FV(Table9[[#This Row],[Stocks]],"52 week high",TRUE)</f>
        <v>292.83999999999997</v>
      </c>
      <c r="I59" s="7" cm="1">
        <f t="array" aca="1" ref="I59" ca="1">_FV(Table9[[#This Row],[Stocks]],"52 week low",TRUE)</f>
        <v>67.61</v>
      </c>
      <c r="J59" s="9" cm="1">
        <f t="array" aca="1" ref="J59" ca="1">_FV(Table9[[#This Row],[Stocks]],"Volume")</f>
        <v>8350540</v>
      </c>
      <c r="K59" s="9" cm="1">
        <f t="array" aca="1" ref="K59" ca="1">_FV(Table9[[#This Row],[Stocks]],"Volume average",TRUE)</f>
        <v>3998856</v>
      </c>
      <c r="L59" s="9" cm="1">
        <f t="array" aca="1" ref="L59" ca="1">_FV(Table9[[#This Row],[Stocks]],"Shares outstanding",TRUE)</f>
        <v>213187300</v>
      </c>
      <c r="M59" s="38" cm="1">
        <f t="array" aca="1" ref="M59" ca="1">_FV(Table9[[#This Row],[Stocks]],"P/E",TRUE)</f>
        <v>120.369</v>
      </c>
      <c r="N59" s="6" cm="1">
        <f t="array" aca="1" ref="N59" ca="1">_FV(Table9[[#This Row],[Stocks]],"Year incorporated",TRUE)</f>
        <v>2016</v>
      </c>
      <c r="O59" s="7" t="str" cm="1">
        <f t="array" aca="1" ref="O59" ca="1">_FV(Table9[[#This Row],[Stocks]],"Exchange")</f>
        <v>New York Stock Exchange</v>
      </c>
      <c r="P59" s="7" t="str" cm="1">
        <f t="array" aca="1" ref="P59" ca="1">_FV(Table9[[#This Row],[Stocks]],"Headquarters")</f>
        <v>300 E. Rio Salado Parkway, TEMPE, AZ, 85281 US</v>
      </c>
      <c r="Q59" s="7" t="s">
        <v>114</v>
      </c>
    </row>
    <row r="60" spans="1:17" x14ac:dyDescent="0.3">
      <c r="A60" t="e" vm="73">
        <v>#VALUE!</v>
      </c>
      <c r="B60" s="14" t="str" cm="1">
        <f t="array" aca="1" ref="B60" ca="1">_FV(Table9[[#This Row],[Stocks]],"Ticker symbol",TRUE)</f>
        <v>PLTR</v>
      </c>
      <c r="C60" t="str" cm="1">
        <f t="array" aca="1" ref="C60" ca="1">_FV(Table9[[#This Row],[Stocks]],"Industry")</f>
        <v>Software &amp; IT Services</v>
      </c>
      <c r="D60" s="3" cm="1">
        <f t="array" aca="1" ref="D60" ca="1">_FV(Table9[[#This Row],[Stocks]],"Market cap",TRUE)</f>
        <v>199058900000</v>
      </c>
      <c r="E60" s="7" cm="1">
        <f t="array" aca="1" ref="E60" ca="1">_FV(Table9[[#This Row],[Stocks]],"Price")</f>
        <v>84.903099999999995</v>
      </c>
      <c r="F60" s="10" cm="1">
        <f t="array" aca="1" ref="F60" ca="1">_FV(Table9[[#This Row],[Stocks]],"Change (%)",TRUE)</f>
        <v>5.5220999999999999E-2</v>
      </c>
      <c r="G60" s="10" cm="1">
        <f t="array" aca="1" ref="G60" ca="1">_FV(Table9[[#This Row],[Stocks]],"Change % (Extended hours)",TRUE)</f>
        <v>-1.284E-4</v>
      </c>
      <c r="H60" s="7" cm="1">
        <f t="array" aca="1" ref="H60" ca="1">_FV(Table9[[#This Row],[Stocks]],"52 week high",TRUE)</f>
        <v>125.41</v>
      </c>
      <c r="I60" s="7" cm="1">
        <f t="array" aca="1" ref="I60" ca="1">_FV(Table9[[#This Row],[Stocks]],"52 week low",TRUE)</f>
        <v>20.329999999999998</v>
      </c>
      <c r="J60" s="9" cm="1">
        <f t="array" aca="1" ref="J60" ca="1">_FV(Table9[[#This Row],[Stocks]],"Volume")</f>
        <v>105377101</v>
      </c>
      <c r="K60" s="9" cm="1">
        <f t="array" aca="1" ref="K60" ca="1">_FV(Table9[[#This Row],[Stocks]],"Volume average",TRUE)</f>
        <v>117865988</v>
      </c>
      <c r="L60" s="9" cm="1">
        <f t="array" aca="1" ref="L60" ca="1">_FV(Table9[[#This Row],[Stocks]],"Shares outstanding",TRUE)</f>
        <v>2344352000</v>
      </c>
      <c r="M60" s="38" cm="1">
        <f t="array" aca="1" ref="M60" ca="1">_FV(Table9[[#This Row],[Stocks]],"P/E",TRUE)</f>
        <v>434.32049999999998</v>
      </c>
      <c r="N60" s="6" cm="1">
        <f t="array" aca="1" ref="N60" ca="1">_FV(Table9[[#This Row],[Stocks]],"Year incorporated",TRUE)</f>
        <v>2003</v>
      </c>
      <c r="O60" s="7" t="str" cm="1">
        <f t="array" aca="1" ref="O60" ca="1">_FV(Table9[[#This Row],[Stocks]],"Exchange")</f>
        <v>Nasdaq Stock Market</v>
      </c>
      <c r="P60" s="7" t="str" cm="1">
        <f t="array" aca="1" ref="P60" ca="1">_FV(Table9[[#This Row],[Stocks]],"Headquarters")</f>
        <v>1200 17Th Street, Floor 15, DENVER, CO, 80202 US</v>
      </c>
      <c r="Q60" t="s">
        <v>114</v>
      </c>
    </row>
    <row r="61" spans="1:17" x14ac:dyDescent="0.3">
      <c r="A61" t="e" vm="74">
        <v>#VALUE!</v>
      </c>
      <c r="B61" s="14" t="str" cm="1">
        <f t="array" aca="1" ref="B61" ca="1">_FV(Table9[[#This Row],[Stocks]],"Ticker symbol",TRUE)</f>
        <v>XNET</v>
      </c>
      <c r="C61" t="str" cm="1">
        <f t="array" aca="1" ref="C61" ca="1">_FV(Table9[[#This Row],[Stocks]],"Industry")</f>
        <v>Software &amp; IT Services</v>
      </c>
      <c r="D61" s="3" cm="1">
        <f t="array" aca="1" ref="D61" ca="1">_FV(Table9[[#This Row],[Stocks]],"Market cap",TRUE)</f>
        <v>285264135</v>
      </c>
      <c r="E61" s="7" cm="1">
        <f t="array" aca="1" ref="E61" ca="1">_FV(Table9[[#This Row],[Stocks]],"Price")</f>
        <v>4.5</v>
      </c>
      <c r="F61" s="10" cm="1">
        <f t="array" aca="1" ref="F61" ca="1">_FV(Table9[[#This Row],[Stocks]],"Change (%)",TRUE)</f>
        <v>0.125</v>
      </c>
      <c r="G61" s="10" cm="1">
        <f t="array" aca="1" ref="G61" ca="1">_FV(Table9[[#This Row],[Stocks]],"Change % (Extended hours)",TRUE)</f>
        <v>4.444E-3</v>
      </c>
      <c r="H61" s="7" cm="1">
        <f t="array" aca="1" ref="H61" ca="1">_FV(Table9[[#This Row],[Stocks]],"52 week high",TRUE)</f>
        <v>4.8049999999999997</v>
      </c>
      <c r="I61" s="7" cm="1">
        <f t="array" aca="1" ref="I61" ca="1">_FV(Table9[[#This Row],[Stocks]],"52 week low",TRUE)</f>
        <v>1.45</v>
      </c>
      <c r="J61" s="9" cm="1">
        <f t="array" aca="1" ref="J61" ca="1">_FV(Table9[[#This Row],[Stocks]],"Volume")</f>
        <v>989810</v>
      </c>
      <c r="K61" s="9" cm="1">
        <f t="array" aca="1" ref="K61" ca="1">_FV(Table9[[#This Row],[Stocks]],"Volume average",TRUE)</f>
        <v>2514288</v>
      </c>
      <c r="L61" s="9" cm="1">
        <f t="array" aca="1" ref="L61" ca="1">_FV(Table9[[#This Row],[Stocks]],"Shares outstanding",TRUE)</f>
        <v>63392030</v>
      </c>
      <c r="M61" s="38" cm="1">
        <f t="array" aca="1" ref="M61" ca="1">_FV(Table9[[#This Row],[Stocks]],"P/E",TRUE)</f>
        <v>17.5093</v>
      </c>
      <c r="N61" s="6" cm="1">
        <f t="array" aca="1" ref="N61" ca="1">_FV(Table9[[#This Row],[Stocks]],"Year incorporated",TRUE)</f>
        <v>2005</v>
      </c>
      <c r="O61" s="7" t="str" cm="1">
        <f t="array" aca="1" ref="O61" ca="1">_FV(Table9[[#This Row],[Stocks]],"Exchange")</f>
        <v>Nasdaq Stock Market</v>
      </c>
      <c r="P61" s="7" t="str" cm="1">
        <f t="array" aca="1" ref="P61" ca="1">_FV(Table9[[#This Row],[Stocks]],"Headquarters")</f>
        <v>3709 Baishi Road, Nanshan District, SHENZHEN, GUANGDONG, 518000 CN</v>
      </c>
      <c r="Q61" s="7" t="s">
        <v>116</v>
      </c>
    </row>
    <row r="62" spans="1:17" x14ac:dyDescent="0.3">
      <c r="A62" t="e" vm="75">
        <v>#VALUE!</v>
      </c>
      <c r="B62" s="14" t="str" cm="1">
        <f t="array" aca="1" ref="B62" ca="1">_FV(Table9[[#This Row],[Stocks]],"Ticker symbol",TRUE)</f>
        <v>FUBO</v>
      </c>
      <c r="C62" t="str" cm="1">
        <f t="array" aca="1" ref="C62" ca="1">_FV(Table9[[#This Row],[Stocks]],"Industry")</f>
        <v>Software &amp; IT Services</v>
      </c>
      <c r="D62" s="3" cm="1">
        <f t="array" aca="1" ref="D62" ca="1">_FV(Table9[[#This Row],[Stocks]],"Market cap",TRUE)</f>
        <v>1085896000</v>
      </c>
      <c r="E62" s="7" cm="1">
        <f t="array" aca="1" ref="E62" ca="1">_FV(Table9[[#This Row],[Stocks]],"Price")</f>
        <v>3.1850000000000001</v>
      </c>
      <c r="F62" s="10" cm="1">
        <f t="array" aca="1" ref="F62" ca="1">_FV(Table9[[#This Row],[Stocks]],"Change (%)",TRUE)</f>
        <v>6.5216999999999997E-2</v>
      </c>
      <c r="G62" s="10" cm="1">
        <f t="array" aca="1" ref="G62" ca="1">_FV(Table9[[#This Row],[Stocks]],"Change % (Extended hours)",TRUE)</f>
        <v>-6.2890000000000003E-3</v>
      </c>
      <c r="H62" s="7" cm="1">
        <f t="array" aca="1" ref="H62" ca="1">_FV(Table9[[#This Row],[Stocks]],"52 week high",TRUE)</f>
        <v>6.45</v>
      </c>
      <c r="I62" s="7" cm="1">
        <f t="array" aca="1" ref="I62" ca="1">_FV(Table9[[#This Row],[Stocks]],"52 week low",TRUE)</f>
        <v>1.1000000000000001</v>
      </c>
      <c r="J62" s="9" cm="1">
        <f t="array" aca="1" ref="J62" ca="1">_FV(Table9[[#This Row],[Stocks]],"Volume")</f>
        <v>20577253</v>
      </c>
      <c r="K62" s="9" cm="1">
        <f t="array" aca="1" ref="K62" ca="1">_FV(Table9[[#This Row],[Stocks]],"Volume average",TRUE)</f>
        <v>24934310</v>
      </c>
      <c r="L62" s="9" cm="1">
        <f t="array" aca="1" ref="L62" ca="1">_FV(Table9[[#This Row],[Stocks]],"Shares outstanding",TRUE)</f>
        <v>341476600</v>
      </c>
      <c r="M62" s="38" t="e" cm="1" vm="5">
        <f t="array" ref="M62">_FV(Table9[[#This Row],[Stocks]],"P/E",TRUE)</f>
        <v>#VALUE!</v>
      </c>
      <c r="N62" s="6" cm="1">
        <f t="array" aca="1" ref="N62" ca="1">_FV(Table9[[#This Row],[Stocks]],"Year incorporated",TRUE)</f>
        <v>2009</v>
      </c>
      <c r="O62" s="7" t="str" cm="1">
        <f t="array" aca="1" ref="O62" ca="1">_FV(Table9[[#This Row],[Stocks]],"Exchange")</f>
        <v>New York Stock Exchange</v>
      </c>
      <c r="P62" s="7" t="str" cm="1">
        <f t="array" aca="1" ref="P62" ca="1">_FV(Table9[[#This Row],[Stocks]],"Headquarters")</f>
        <v>1290 AVENUE OF THE AMERICAS, NEW YORK, NEW YORK, NY, 10104 US</v>
      </c>
      <c r="Q62" s="7" t="s">
        <v>114</v>
      </c>
    </row>
    <row r="63" spans="1:17" x14ac:dyDescent="0.3">
      <c r="A63" t="e" vm="76">
        <v>#VALUE!</v>
      </c>
      <c r="B63" s="14" t="str" cm="1">
        <f t="array" aca="1" ref="B63" ca="1">_FV(Table9[[#This Row],[Stocks]],"Ticker symbol",TRUE)</f>
        <v>CVU</v>
      </c>
      <c r="C63" t="str" cm="1">
        <f t="array" aca="1" ref="C63" ca="1">_FV(Table9[[#This Row],[Stocks]],"Industry")</f>
        <v>Aerospace &amp; Defense</v>
      </c>
      <c r="D63" s="3" cm="1">
        <f t="array" aca="1" ref="D63" ca="1">_FV(Table9[[#This Row],[Stocks]],"Market cap",TRUE)</f>
        <v>47452450</v>
      </c>
      <c r="E63" s="7" cm="1">
        <f t="array" aca="1" ref="E63" ca="1">_FV(Table9[[#This Row],[Stocks]],"Price")</f>
        <v>3.65</v>
      </c>
      <c r="F63" s="10" cm="1">
        <f t="array" aca="1" ref="F63" ca="1">_FV(Table9[[#This Row],[Stocks]],"Change (%)",TRUE)</f>
        <v>1.6712999999999999E-2</v>
      </c>
      <c r="G63" s="10" cm="1">
        <f t="array" aca="1" ref="G63" ca="1">_FV(Table9[[#This Row],[Stocks]],"Change % (Extended hours)",TRUE)</f>
        <v>2.7397000000000001E-2</v>
      </c>
      <c r="H63" s="7" cm="1">
        <f t="array" aca="1" ref="H63" ca="1">_FV(Table9[[#This Row],[Stocks]],"52 week high",TRUE)</f>
        <v>5.85</v>
      </c>
      <c r="I63" s="7" cm="1">
        <f t="array" aca="1" ref="I63" ca="1">_FV(Table9[[#This Row],[Stocks]],"52 week low",TRUE)</f>
        <v>2.16</v>
      </c>
      <c r="J63" s="9" cm="1">
        <f t="array" aca="1" ref="J63" ca="1">_FV(Table9[[#This Row],[Stocks]],"Volume")</f>
        <v>52447</v>
      </c>
      <c r="K63" s="9" cm="1">
        <f t="array" aca="1" ref="K63" ca="1">_FV(Table9[[#This Row],[Stocks]],"Volume average",TRUE)</f>
        <v>69934</v>
      </c>
      <c r="L63" s="9" cm="1">
        <f t="array" aca="1" ref="L63" ca="1">_FV(Table9[[#This Row],[Stocks]],"Shares outstanding",TRUE)</f>
        <v>13000670</v>
      </c>
      <c r="M63" s="38" cm="1">
        <f t="array" aca="1" ref="M63" ca="1">_FV(Table9[[#This Row],[Stocks]],"P/E",TRUE)</f>
        <v>2.569</v>
      </c>
      <c r="N63" s="6" cm="1">
        <f t="array" aca="1" ref="N63" ca="1">_FV(Table9[[#This Row],[Stocks]],"Year incorporated",TRUE)</f>
        <v>1980</v>
      </c>
      <c r="O63" s="7" t="str" cm="1">
        <f t="array" aca="1" ref="O63" ca="1">_FV(Table9[[#This Row],[Stocks]],"Exchange")</f>
        <v>New York Stock Exchange</v>
      </c>
      <c r="P63" s="7" t="str" cm="1">
        <f t="array" aca="1" ref="P63" ca="1">_FV(Table9[[#This Row],[Stocks]],"Headquarters")</f>
        <v>200A Executive Dr, EDGEWOOD, NY, 11717 US</v>
      </c>
      <c r="Q63" s="7" t="s">
        <v>114</v>
      </c>
    </row>
    <row r="64" spans="1:17" x14ac:dyDescent="0.3">
      <c r="A64" t="e" vm="77">
        <v>#VALUE!</v>
      </c>
      <c r="B64" s="14" t="str" cm="1">
        <f t="array" aca="1" ref="B64" ca="1">_FV(Table9[[#This Row],[Stocks]],"Ticker symbol",TRUE)</f>
        <v>DTSS</v>
      </c>
      <c r="C64" t="str" cm="1">
        <f t="array" aca="1" ref="C64" ca="1">_FV(Table9[[#This Row],[Stocks]],"Industry")</f>
        <v>Software &amp; IT Services</v>
      </c>
      <c r="D64" s="3" cm="1">
        <f t="array" aca="1" ref="D64" ca="1">_FV(Table9[[#This Row],[Stocks]],"Market cap",TRUE)</f>
        <v>16252000</v>
      </c>
      <c r="E64" s="7" cm="1">
        <f t="array" aca="1" ref="E64" ca="1">_FV(Table9[[#This Row],[Stocks]],"Price")</f>
        <v>2.17</v>
      </c>
      <c r="F64" s="10" cm="1">
        <f t="array" aca="1" ref="F64" ca="1">_FV(Table9[[#This Row],[Stocks]],"Change (%)",TRUE)</f>
        <v>3.3333000000000002E-2</v>
      </c>
      <c r="G64" s="10" cm="1">
        <f t="array" aca="1" ref="G64" ca="1">_FV(Table9[[#This Row],[Stocks]],"Change % (Extended hours)",TRUE)</f>
        <v>0</v>
      </c>
      <c r="H64" s="7" cm="1">
        <f t="array" aca="1" ref="H64" ca="1">_FV(Table9[[#This Row],[Stocks]],"52 week high",TRUE)</f>
        <v>9.7998999999999992</v>
      </c>
      <c r="I64" s="7" cm="1">
        <f t="array" aca="1" ref="I64" ca="1">_FV(Table9[[#This Row],[Stocks]],"52 week low",TRUE)</f>
        <v>1.65</v>
      </c>
      <c r="J64" s="9" cm="1">
        <f t="array" aca="1" ref="J64" ca="1">_FV(Table9[[#This Row],[Stocks]],"Volume")</f>
        <v>24365</v>
      </c>
      <c r="K64" s="9" cm="1">
        <f t="array" aca="1" ref="K64" ca="1">_FV(Table9[[#This Row],[Stocks]],"Volume average",TRUE)</f>
        <v>100715</v>
      </c>
      <c r="L64" s="9" cm="1">
        <f t="array" aca="1" ref="L64" ca="1">_FV(Table9[[#This Row],[Stocks]],"Shares outstanding",TRUE)</f>
        <v>7489400</v>
      </c>
      <c r="M64" s="38" cm="1">
        <f t="array" aca="1" ref="M64" ca="1">_FV(Table9[[#This Row],[Stocks]],"P/E",TRUE)</f>
        <v>0</v>
      </c>
      <c r="N64" s="6" cm="1">
        <f t="array" aca="1" ref="N64" ca="1">_FV(Table9[[#This Row],[Stocks]],"Year incorporated",TRUE)</f>
        <v>2014</v>
      </c>
      <c r="O64" s="7" t="str" cm="1">
        <f t="array" aca="1" ref="O64" ca="1">_FV(Table9[[#This Row],[Stocks]],"Exchange")</f>
        <v>Nasdaq Stock Market</v>
      </c>
      <c r="P64" s="7" t="str" cm="1">
        <f t="array" aca="1" ref="P64" ca="1">_FV(Table9[[#This Row],[Stocks]],"Headquarters")</f>
        <v>1 Xinghuo Rd, Changning Bldg, Ste.11D2e, Fengtai District, BEIJING, BEIJING, 100070 CN</v>
      </c>
      <c r="Q64" s="7" t="s">
        <v>116</v>
      </c>
    </row>
    <row r="65" spans="1:17" x14ac:dyDescent="0.3">
      <c r="A65" t="e" vm="78">
        <v>#VALUE!</v>
      </c>
      <c r="B65" s="14" t="str" cm="1">
        <f t="array" aca="1" ref="B65" ca="1">_FV(Table9[[#This Row],[Stocks]],"Ticker symbol",TRUE)</f>
        <v>KULR</v>
      </c>
      <c r="C65" t="str" cm="1">
        <f t="array" aca="1" ref="C65" ca="1">_FV(Table9[[#This Row],[Stocks]],"Industry")</f>
        <v>Machinery, Equipment &amp; Components</v>
      </c>
      <c r="D65" s="3" cm="1">
        <f t="array" aca="1" ref="D65" ca="1">_FV(Table9[[#This Row],[Stocks]],"Market cap",TRUE)</f>
        <v>294312600</v>
      </c>
      <c r="E65" s="7" cm="1">
        <f t="array" aca="1" ref="E65" ca="1">_FV(Table9[[#This Row],[Stocks]],"Price")</f>
        <v>1.2350000000000001</v>
      </c>
      <c r="F65" s="10" cm="1">
        <f t="array" aca="1" ref="F65" ca="1">_FV(Table9[[#This Row],[Stocks]],"Change (%)",TRUE)</f>
        <v>5.5556000000000001E-2</v>
      </c>
      <c r="G65" s="10" cm="1">
        <f t="array" aca="1" ref="G65" ca="1">_FV(Table9[[#This Row],[Stocks]],"Change % (Extended hours)",TRUE)</f>
        <v>0</v>
      </c>
      <c r="H65" s="7" cm="1">
        <f t="array" aca="1" ref="H65" ca="1">_FV(Table9[[#This Row],[Stocks]],"52 week high",TRUE)</f>
        <v>5.49</v>
      </c>
      <c r="I65" s="7" cm="1">
        <f t="array" aca="1" ref="I65" ca="1">_FV(Table9[[#This Row],[Stocks]],"52 week low",TRUE)</f>
        <v>0.13370000000000001</v>
      </c>
      <c r="J65" s="9" cm="1">
        <f t="array" aca="1" ref="J65" ca="1">_FV(Table9[[#This Row],[Stocks]],"Volume")</f>
        <v>6651627</v>
      </c>
      <c r="K65" s="9" cm="1">
        <f t="array" aca="1" ref="K65" ca="1">_FV(Table9[[#This Row],[Stocks]],"Volume average",TRUE)</f>
        <v>13984326</v>
      </c>
      <c r="L65" s="9" cm="1">
        <f t="array" aca="1" ref="L65" ca="1">_FV(Table9[[#This Row],[Stocks]],"Shares outstanding",TRUE)</f>
        <v>239278500</v>
      </c>
      <c r="M65" s="38" t="e" cm="1" vm="5">
        <f t="array" ref="M65">_FV(Table9[[#This Row],[Stocks]],"P/E",TRUE)</f>
        <v>#VALUE!</v>
      </c>
      <c r="N65" s="6" cm="1">
        <f t="array" aca="1" ref="N65" ca="1">_FV(Table9[[#This Row],[Stocks]],"Year incorporated",TRUE)</f>
        <v>2015</v>
      </c>
      <c r="O65" s="7" t="str" cm="1">
        <f t="array" aca="1" ref="O65" ca="1">_FV(Table9[[#This Row],[Stocks]],"Exchange")</f>
        <v>New York Stock Exchange</v>
      </c>
      <c r="P65" s="7" t="str" cm="1">
        <f t="array" aca="1" ref="P65" ca="1">_FV(Table9[[#This Row],[Stocks]],"Headquarters")</f>
        <v>4863 SHAWLINE STREET, SAN DIEGO, CA, 92111 US</v>
      </c>
      <c r="Q65" s="7" t="s">
        <v>114</v>
      </c>
    </row>
    <row r="66" spans="1:17" x14ac:dyDescent="0.3">
      <c r="A66" t="e" vm="79">
        <v>#VALUE!</v>
      </c>
      <c r="B66" s="14" t="str" cm="1">
        <f t="array" aca="1" ref="B66" ca="1">_FV(Table9[[#This Row],[Stocks]],"Ticker symbol",TRUE)</f>
        <v>GRRR</v>
      </c>
      <c r="C66" t="str" cm="1">
        <f t="array" aca="1" ref="C66" ca="1">_FV(Table9[[#This Row],[Stocks]],"Industry")</f>
        <v>Software &amp; IT Services</v>
      </c>
      <c r="D66" s="3" cm="1">
        <f t="array" aca="1" ref="D66" ca="1">_FV(Table9[[#This Row],[Stocks]],"Market cap",TRUE)</f>
        <v>524580706</v>
      </c>
      <c r="E66" s="7" cm="1">
        <f t="array" aca="1" ref="E66" ca="1">_FV(Table9[[#This Row],[Stocks]],"Price")</f>
        <v>28.41</v>
      </c>
      <c r="F66" s="10" cm="1">
        <f t="array" aca="1" ref="F66" ca="1">_FV(Table9[[#This Row],[Stocks]],"Change (%)",TRUE)</f>
        <v>-0.162194</v>
      </c>
      <c r="G66" s="10" cm="1">
        <f t="array" aca="1" ref="G66" ca="1">_FV(Table9[[#This Row],[Stocks]],"Change % (Extended hours)",TRUE)</f>
        <v>-2.1471000000000001E-2</v>
      </c>
      <c r="H66" s="7" cm="1">
        <f t="array" aca="1" ref="H66" ca="1">_FV(Table9[[#This Row],[Stocks]],"52 week high",TRUE)</f>
        <v>44.15</v>
      </c>
      <c r="I66" s="7" cm="1">
        <f t="array" aca="1" ref="I66" ca="1">_FV(Table9[[#This Row],[Stocks]],"52 week low",TRUE)</f>
        <v>2.09</v>
      </c>
      <c r="J66" s="9" cm="1">
        <f t="array" aca="1" ref="J66" ca="1">_FV(Table9[[#This Row],[Stocks]],"Volume")</f>
        <v>7492345</v>
      </c>
      <c r="K66" s="9" cm="1">
        <f t="array" aca="1" ref="K66" ca="1">_FV(Table9[[#This Row],[Stocks]],"Volume average",TRUE)</f>
        <v>4473442</v>
      </c>
      <c r="L66" s="9" cm="1">
        <f t="array" aca="1" ref="L66" ca="1">_FV(Table9[[#This Row],[Stocks]],"Shares outstanding",TRUE)</f>
        <v>18464650</v>
      </c>
      <c r="M66" s="38" cm="1">
        <f t="array" aca="1" ref="M66" ca="1">_FV(Table9[[#This Row],[Stocks]],"P/E",TRUE)</f>
        <v>16.034700000000001</v>
      </c>
      <c r="N66" s="6" t="e" cm="1" vm="39">
        <f t="array" ref="N66">_FV(Table9[[#This Row],[Stocks]],"Year incorporated",TRUE)</f>
        <v>#VALUE!</v>
      </c>
      <c r="O66" s="7" t="str" cm="1">
        <f t="array" aca="1" ref="O66" ca="1">_FV(Table9[[#This Row],[Stocks]],"Exchange")</f>
        <v>Nasdaq Stock Market</v>
      </c>
      <c r="P66" s="7" t="str" cm="1">
        <f t="array" aca="1" ref="P66" ca="1">_FV(Table9[[#This Row],[Stocks]],"Headquarters")</f>
        <v>Meridien House, 42 Upper Berkeley Street, Marble Arch, LONDON, W1H 5QJ GB</v>
      </c>
      <c r="Q66" s="7" t="s">
        <v>117</v>
      </c>
    </row>
    <row r="67" spans="1:17" x14ac:dyDescent="0.3">
      <c r="A67" t="e" vm="80">
        <v>#VALUE!</v>
      </c>
      <c r="B67" s="14" t="str" cm="1">
        <f t="array" aca="1" ref="B67" ca="1">_FV(Table9[[#This Row],[Stocks]],"Ticker symbol",TRUE)</f>
        <v>LUMN</v>
      </c>
      <c r="C67" t="str" cm="1">
        <f t="array" aca="1" ref="C67" ca="1">_FV(Table9[[#This Row],[Stocks]],"Industry")</f>
        <v>Telecommunications Services</v>
      </c>
      <c r="D67" s="3" cm="1">
        <f t="array" aca="1" ref="D67" ca="1">_FV(Table9[[#This Row],[Stocks]],"Market cap",TRUE)</f>
        <v>5373137000</v>
      </c>
      <c r="E67" s="7" cm="1">
        <f t="array" aca="1" ref="E67" ca="1">_FV(Table9[[#This Row],[Stocks]],"Price")</f>
        <v>5.3</v>
      </c>
      <c r="F67" s="10" cm="1">
        <f t="array" aca="1" ref="F67" ca="1">_FV(Table9[[#This Row],[Stocks]],"Change (%)",TRUE)</f>
        <v>5.3677999999999997E-2</v>
      </c>
      <c r="G67" s="10" cm="1">
        <f t="array" aca="1" ref="G67" ca="1">_FV(Table9[[#This Row],[Stocks]],"Change % (Extended hours)",TRUE)</f>
        <v>1.887E-3</v>
      </c>
      <c r="H67" s="7" cm="1">
        <f t="array" aca="1" ref="H67" ca="1">_FV(Table9[[#This Row],[Stocks]],"52 week high",TRUE)</f>
        <v>10.33</v>
      </c>
      <c r="I67" s="7" cm="1">
        <f t="array" aca="1" ref="I67" ca="1">_FV(Table9[[#This Row],[Stocks]],"52 week low",TRUE)</f>
        <v>0.97019999999999995</v>
      </c>
      <c r="J67" s="9" cm="1">
        <f t="array" aca="1" ref="J67" ca="1">_FV(Table9[[#This Row],[Stocks]],"Volume")</f>
        <v>13930373</v>
      </c>
      <c r="K67" s="9" cm="1">
        <f t="array" aca="1" ref="K67" ca="1">_FV(Table9[[#This Row],[Stocks]],"Volume average",TRUE)</f>
        <v>13513802</v>
      </c>
      <c r="L67" s="9" cm="1">
        <f t="array" aca="1" ref="L67" ca="1">_FV(Table9[[#This Row],[Stocks]],"Shares outstanding",TRUE)</f>
        <v>1013799000</v>
      </c>
      <c r="M67" s="38" t="e" cm="1" vm="5">
        <f t="array" ref="M67">_FV(Table9[[#This Row],[Stocks]],"P/E",TRUE)</f>
        <v>#VALUE!</v>
      </c>
      <c r="N67" s="6" cm="1">
        <f t="array" aca="1" ref="N67" ca="1">_FV(Table9[[#This Row],[Stocks]],"Year incorporated",TRUE)</f>
        <v>1968</v>
      </c>
      <c r="O67" s="7" t="str" cm="1">
        <f t="array" aca="1" ref="O67" ca="1">_FV(Table9[[#This Row],[Stocks]],"Exchange")</f>
        <v>New York Stock Exchange</v>
      </c>
      <c r="P67" s="7" t="str" cm="1">
        <f t="array" aca="1" ref="P67" ca="1">_FV(Table9[[#This Row],[Stocks]],"Headquarters")</f>
        <v>P O BOX 4065, 100 CENTURYLINK DR, MONROE, LA, 71203 US</v>
      </c>
      <c r="Q67" s="7" t="s">
        <v>114</v>
      </c>
    </row>
    <row r="68" spans="1:17" x14ac:dyDescent="0.3">
      <c r="A68" t="e" vm="81">
        <v>#VALUE!</v>
      </c>
      <c r="B68" s="14" t="str" cm="1">
        <f t="array" aca="1" ref="B68" ca="1">_FV(Table9[[#This Row],[Stocks]],"Ticker symbol",TRUE)</f>
        <v>PRCH</v>
      </c>
      <c r="C68" t="str" cm="1">
        <f t="array" aca="1" ref="C68" ca="1">_FV(Table9[[#This Row],[Stocks]],"Industry")</f>
        <v>Software &amp; IT Services</v>
      </c>
      <c r="D68" s="3" cm="1">
        <f t="array" aca="1" ref="D68" ca="1">_FV(Table9[[#This Row],[Stocks]],"Market cap",TRUE)</f>
        <v>791822080</v>
      </c>
      <c r="E68" s="7" cm="1">
        <f t="array" aca="1" ref="E68" ca="1">_FV(Table9[[#This Row],[Stocks]],"Price")</f>
        <v>6.5949999999999998</v>
      </c>
      <c r="F68" s="10" cm="1">
        <f t="array" aca="1" ref="F68" ca="1">_FV(Table9[[#This Row],[Stocks]],"Change (%)",TRUE)</f>
        <v>2.2481000000000001E-2</v>
      </c>
      <c r="G68" s="10" cm="1">
        <f t="array" aca="1" ref="G68" ca="1">_FV(Table9[[#This Row],[Stocks]],"Change % (Extended hours)",TRUE)</f>
        <v>-1.2888999999999999E-2</v>
      </c>
      <c r="H68" s="7" cm="1">
        <f t="array" aca="1" ref="H68" ca="1">_FV(Table9[[#This Row],[Stocks]],"52 week high",TRUE)</f>
        <v>7.2949999999999999</v>
      </c>
      <c r="I68" s="7" cm="1">
        <f t="array" aca="1" ref="I68" ca="1">_FV(Table9[[#This Row],[Stocks]],"52 week low",TRUE)</f>
        <v>1.05</v>
      </c>
      <c r="J68" s="9" cm="1">
        <f t="array" aca="1" ref="J68" ca="1">_FV(Table9[[#This Row],[Stocks]],"Volume")</f>
        <v>1519936</v>
      </c>
      <c r="K68" s="9" cm="1">
        <f t="array" aca="1" ref="K68" ca="1">_FV(Table9[[#This Row],[Stocks]],"Volume average",TRUE)</f>
        <v>2999944</v>
      </c>
      <c r="L68" s="9" cm="1">
        <f t="array" aca="1" ref="L68" ca="1">_FV(Table9[[#This Row],[Stocks]],"Shares outstanding",TRUE)</f>
        <v>120064000</v>
      </c>
      <c r="M68" s="38" cm="1">
        <f t="array" aca="1" ref="M68" ca="1">_FV(Table9[[#This Row],[Stocks]],"P/E",TRUE)</f>
        <v>0</v>
      </c>
      <c r="N68" s="6" cm="1">
        <f t="array" aca="1" ref="N68" ca="1">_FV(Table9[[#This Row],[Stocks]],"Year incorporated",TRUE)</f>
        <v>2019</v>
      </c>
      <c r="O68" s="7" t="str" cm="1">
        <f t="array" aca="1" ref="O68" ca="1">_FV(Table9[[#This Row],[Stocks]],"Exchange")</f>
        <v>Nasdaq Stock Market</v>
      </c>
      <c r="P68" s="7" t="str" cm="1">
        <f t="array" aca="1" ref="P68" ca="1">_FV(Table9[[#This Row],[Stocks]],"Headquarters")</f>
        <v>411 1ST AVENUE S., SUITE 501, SEATTLE, WA, 98104 US</v>
      </c>
      <c r="Q68" s="7" t="s">
        <v>114</v>
      </c>
    </row>
    <row r="69" spans="1:17" x14ac:dyDescent="0.3">
      <c r="A69" t="e" vm="82">
        <v>#VALUE!</v>
      </c>
      <c r="B69" s="14" t="str" cm="1">
        <f t="array" aca="1" ref="B69" ca="1">_FV(Table9[[#This Row],[Stocks]],"Ticker symbol",TRUE)</f>
        <v>ULY</v>
      </c>
      <c r="C69" t="str" cm="1">
        <f t="array" aca="1" ref="C69" ca="1">_FV(Table9[[#This Row],[Stocks]],"Industry")</f>
        <v>Software &amp; IT Services</v>
      </c>
      <c r="D69" s="3" cm="1">
        <f t="array" aca="1" ref="D69" ca="1">_FV(Table9[[#This Row],[Stocks]],"Market cap",TRUE)</f>
        <v>8395610</v>
      </c>
      <c r="E69" s="7" cm="1">
        <f t="array" aca="1" ref="E69" ca="1">_FV(Table9[[#This Row],[Stocks]],"Price")</f>
        <v>0.56999999999999995</v>
      </c>
      <c r="F69" s="10" cm="1">
        <f t="array" aca="1" ref="F69" ca="1">_FV(Table9[[#This Row],[Stocks]],"Change (%)",TRUE)</f>
        <v>1.4234999999999999E-2</v>
      </c>
      <c r="G69" s="10" cm="1">
        <f t="array" aca="1" ref="G69" ca="1">_FV(Table9[[#This Row],[Stocks]],"Change % (Extended hours)",TRUE)</f>
        <v>-3.4561000000000001E-2</v>
      </c>
      <c r="H69" s="7" cm="1">
        <f t="array" aca="1" ref="H69" ca="1">_FV(Table9[[#This Row],[Stocks]],"52 week high",TRUE)</f>
        <v>3.45</v>
      </c>
      <c r="I69" s="7" cm="1">
        <f t="array" aca="1" ref="I69" ca="1">_FV(Table9[[#This Row],[Stocks]],"52 week low",TRUE)</f>
        <v>0.41149999999999998</v>
      </c>
      <c r="J69" s="9" cm="1">
        <f t="array" aca="1" ref="J69" ca="1">_FV(Table9[[#This Row],[Stocks]],"Volume")</f>
        <v>251510</v>
      </c>
      <c r="K69" s="9" cm="1">
        <f t="array" aca="1" ref="K69" ca="1">_FV(Table9[[#This Row],[Stocks]],"Volume average",TRUE)</f>
        <v>6769482</v>
      </c>
      <c r="L69" s="9" cm="1">
        <f t="array" aca="1" ref="L69" ca="1">_FV(Table9[[#This Row],[Stocks]],"Shares outstanding",TRUE)</f>
        <v>14938800</v>
      </c>
      <c r="M69" s="38" cm="1">
        <f t="array" aca="1" ref="M69" ca="1">_FV(Table9[[#This Row],[Stocks]],"P/E",TRUE)</f>
        <v>8.455E-2</v>
      </c>
      <c r="N69" s="6" cm="1">
        <f t="array" aca="1" ref="N69" ca="1">_FV(Table9[[#This Row],[Stocks]],"Year incorporated",TRUE)</f>
        <v>2013</v>
      </c>
      <c r="O69" s="7" t="str" cm="1">
        <f t="array" aca="1" ref="O69" ca="1">_FV(Table9[[#This Row],[Stocks]],"Exchange")</f>
        <v>Nasdaq Stock Market</v>
      </c>
      <c r="P69" s="7" t="str" cm="1">
        <f t="array" aca="1" ref="P69" ca="1">_FV(Table9[[#This Row],[Stocks]],"Headquarters")</f>
        <v>8609 Westwood Center Drive, Suite 810, VIENNA, VA, 22182 US</v>
      </c>
    </row>
  </sheetData>
  <conditionalFormatting sqref="G1:G1048576">
    <cfRule type="colorScale" priority="1">
      <colorScale>
        <cfvo type="min"/>
        <cfvo type="percentile" val="50"/>
        <cfvo type="max"/>
        <color rgb="FFF8696B"/>
        <color rgb="FFFCFCFF"/>
        <color rgb="FF63BE7B"/>
      </colorScale>
    </cfRule>
  </conditionalFormatting>
  <conditionalFormatting sqref="F2:F69">
    <cfRule type="colorScale" priority="43">
      <colorScale>
        <cfvo type="min"/>
        <cfvo type="percentile" val="50"/>
        <cfvo type="max"/>
        <color rgb="FFF8696B"/>
        <color rgb="FFFCFCFF"/>
        <color rgb="FF63BE7B"/>
      </colorScale>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C41CA-E1A1-4985-A775-93FC47F8B466}">
  <sheetPr codeName="Sheet2"/>
  <dimension ref="A1:D70"/>
  <sheetViews>
    <sheetView workbookViewId="0">
      <selection activeCell="B9" sqref="B9"/>
    </sheetView>
  </sheetViews>
  <sheetFormatPr defaultRowHeight="14.4" x14ac:dyDescent="0.3"/>
  <cols>
    <col min="1" max="1" width="12.77734375" bestFit="1" customWidth="1"/>
    <col min="2" max="3" width="26.88671875" bestFit="1" customWidth="1"/>
    <col min="4" max="4" width="26.88671875" style="37" bestFit="1" customWidth="1"/>
  </cols>
  <sheetData>
    <row r="1" spans="1:4" x14ac:dyDescent="0.3">
      <c r="A1" s="36" t="s">
        <v>121</v>
      </c>
      <c r="B1" t="s">
        <v>132</v>
      </c>
      <c r="D1"/>
    </row>
    <row r="2" spans="1:4" x14ac:dyDescent="0.3">
      <c r="A2" s="1" t="s">
        <v>142</v>
      </c>
      <c r="B2" s="10">
        <v>-0.99993135812318656</v>
      </c>
      <c r="D2"/>
    </row>
    <row r="3" spans="1:4" x14ac:dyDescent="0.3">
      <c r="A3" s="1" t="s">
        <v>133</v>
      </c>
      <c r="B3" s="10">
        <v>-0.97975987323360714</v>
      </c>
      <c r="D3"/>
    </row>
    <row r="4" spans="1:4" x14ac:dyDescent="0.3">
      <c r="A4" s="1" t="s">
        <v>148</v>
      </c>
      <c r="B4" s="10">
        <v>-0.97746786475068259</v>
      </c>
      <c r="D4"/>
    </row>
    <row r="5" spans="1:4" x14ac:dyDescent="0.3">
      <c r="A5" s="1" t="s">
        <v>150</v>
      </c>
      <c r="B5" s="10">
        <v>-0.96284649253812926</v>
      </c>
      <c r="D5"/>
    </row>
    <row r="6" spans="1:4" x14ac:dyDescent="0.3">
      <c r="A6" s="1" t="s">
        <v>85</v>
      </c>
      <c r="B6" s="10">
        <v>-0.95190315028257244</v>
      </c>
      <c r="D6"/>
    </row>
    <row r="7" spans="1:4" x14ac:dyDescent="0.3">
      <c r="A7" s="1" t="s">
        <v>20</v>
      </c>
      <c r="B7" s="10">
        <v>-0.94365806657331797</v>
      </c>
      <c r="D7"/>
    </row>
    <row r="8" spans="1:4" x14ac:dyDescent="0.3">
      <c r="A8" s="1" t="s">
        <v>124</v>
      </c>
      <c r="B8" s="10">
        <v>-0.94304924978940652</v>
      </c>
      <c r="D8"/>
    </row>
    <row r="9" spans="1:4" x14ac:dyDescent="0.3">
      <c r="A9" s="1" t="s">
        <v>107</v>
      </c>
      <c r="B9" s="10">
        <v>-0.89081168361315555</v>
      </c>
      <c r="D9"/>
    </row>
    <row r="10" spans="1:4" x14ac:dyDescent="0.3">
      <c r="A10" s="1" t="s">
        <v>137</v>
      </c>
      <c r="B10" s="10">
        <v>-0.84775696612325124</v>
      </c>
      <c r="D10"/>
    </row>
    <row r="11" spans="1:4" x14ac:dyDescent="0.3">
      <c r="A11" s="1" t="s">
        <v>93</v>
      </c>
      <c r="B11" s="10">
        <v>-0.81841168975160927</v>
      </c>
      <c r="D11"/>
    </row>
    <row r="12" spans="1:4" x14ac:dyDescent="0.3">
      <c r="A12" s="1" t="s">
        <v>22</v>
      </c>
      <c r="B12" s="10">
        <v>-0.8095592194671658</v>
      </c>
      <c r="D12"/>
    </row>
    <row r="13" spans="1:4" x14ac:dyDescent="0.3">
      <c r="A13" s="1" t="s">
        <v>151</v>
      </c>
      <c r="B13" s="10">
        <v>-0.77314178638351028</v>
      </c>
      <c r="D13"/>
    </row>
    <row r="14" spans="1:4" x14ac:dyDescent="0.3">
      <c r="A14" s="1" t="s">
        <v>98</v>
      </c>
      <c r="B14" s="10">
        <v>-0.75807972993099337</v>
      </c>
      <c r="D14"/>
    </row>
    <row r="15" spans="1:4" x14ac:dyDescent="0.3">
      <c r="A15" s="1" t="s">
        <v>36</v>
      </c>
      <c r="B15" s="10">
        <v>-0.75422542155605954</v>
      </c>
      <c r="D15"/>
    </row>
    <row r="16" spans="1:4" x14ac:dyDescent="0.3">
      <c r="A16" s="1" t="s">
        <v>21</v>
      </c>
      <c r="B16" s="10">
        <v>-0.60632592606733993</v>
      </c>
      <c r="D16"/>
    </row>
    <row r="17" spans="1:4" x14ac:dyDescent="0.3">
      <c r="A17" s="1" t="s">
        <v>27</v>
      </c>
      <c r="B17" s="10">
        <v>-0.57215551325230629</v>
      </c>
      <c r="D17"/>
    </row>
    <row r="18" spans="1:4" x14ac:dyDescent="0.3">
      <c r="A18" s="1" t="s">
        <v>103</v>
      </c>
      <c r="B18" s="10">
        <v>-0.56910361002247001</v>
      </c>
      <c r="D18"/>
    </row>
    <row r="19" spans="1:4" x14ac:dyDescent="0.3">
      <c r="A19" s="1" t="s">
        <v>106</v>
      </c>
      <c r="B19" s="10">
        <v>-0.5304313178603447</v>
      </c>
      <c r="D19"/>
    </row>
    <row r="20" spans="1:4" x14ac:dyDescent="0.3">
      <c r="A20" s="1" t="s">
        <v>92</v>
      </c>
      <c r="B20" s="10">
        <v>-0.52435126297828016</v>
      </c>
      <c r="D20"/>
    </row>
    <row r="21" spans="1:4" x14ac:dyDescent="0.3">
      <c r="A21" s="1" t="s">
        <v>18</v>
      </c>
      <c r="B21" s="10">
        <v>-0.49334520911057006</v>
      </c>
      <c r="D21"/>
    </row>
    <row r="22" spans="1:4" x14ac:dyDescent="0.3">
      <c r="A22" s="1" t="s">
        <v>94</v>
      </c>
      <c r="B22" s="10">
        <v>-0.47416299694658831</v>
      </c>
      <c r="D22"/>
    </row>
    <row r="23" spans="1:4" x14ac:dyDescent="0.3">
      <c r="A23" s="1" t="s">
        <v>143</v>
      </c>
      <c r="B23" s="10">
        <v>-0.47019843280920426</v>
      </c>
      <c r="D23"/>
    </row>
    <row r="24" spans="1:4" x14ac:dyDescent="0.3">
      <c r="A24" s="1" t="s">
        <v>77</v>
      </c>
      <c r="B24" s="10">
        <v>-0.46378258233986663</v>
      </c>
      <c r="D24"/>
    </row>
    <row r="25" spans="1:4" x14ac:dyDescent="0.3">
      <c r="A25" s="1" t="s">
        <v>23</v>
      </c>
      <c r="B25" s="10">
        <v>-0.46259008336315166</v>
      </c>
      <c r="D25"/>
    </row>
    <row r="26" spans="1:4" x14ac:dyDescent="0.3">
      <c r="A26" s="1" t="s">
        <v>25</v>
      </c>
      <c r="B26" s="10">
        <v>-0.42362451220035163</v>
      </c>
      <c r="D26"/>
    </row>
    <row r="27" spans="1:4" x14ac:dyDescent="0.3">
      <c r="A27" s="1" t="s">
        <v>127</v>
      </c>
      <c r="B27" s="10">
        <v>-0.4091636836967133</v>
      </c>
      <c r="D27"/>
    </row>
    <row r="28" spans="1:4" x14ac:dyDescent="0.3">
      <c r="A28" s="1" t="s">
        <v>33</v>
      </c>
      <c r="B28" s="10">
        <v>-0.40545379939771614</v>
      </c>
      <c r="D28"/>
    </row>
    <row r="29" spans="1:4" x14ac:dyDescent="0.3">
      <c r="A29" s="1" t="s">
        <v>90</v>
      </c>
      <c r="B29" s="10">
        <v>-0.38090562777363235</v>
      </c>
      <c r="D29"/>
    </row>
    <row r="30" spans="1:4" x14ac:dyDescent="0.3">
      <c r="A30" s="1" t="s">
        <v>28</v>
      </c>
      <c r="B30" s="10">
        <v>-0.35045127591892306</v>
      </c>
      <c r="D30"/>
    </row>
    <row r="31" spans="1:4" x14ac:dyDescent="0.3">
      <c r="A31" s="1" t="s">
        <v>17</v>
      </c>
      <c r="B31" s="10">
        <v>-0.34113589826489926</v>
      </c>
      <c r="D31"/>
    </row>
    <row r="32" spans="1:4" x14ac:dyDescent="0.3">
      <c r="A32" s="1" t="s">
        <v>105</v>
      </c>
      <c r="B32" s="10">
        <v>-0.28532343270889621</v>
      </c>
      <c r="D32"/>
    </row>
    <row r="33" spans="1:4" x14ac:dyDescent="0.3">
      <c r="A33" s="1" t="s">
        <v>29</v>
      </c>
      <c r="B33" s="10">
        <v>-0.25210531650268714</v>
      </c>
      <c r="D33"/>
    </row>
    <row r="34" spans="1:4" x14ac:dyDescent="0.3">
      <c r="A34" s="1" t="s">
        <v>88</v>
      </c>
      <c r="B34" s="10">
        <v>-0.25005004718734808</v>
      </c>
      <c r="D34"/>
    </row>
    <row r="35" spans="1:4" x14ac:dyDescent="0.3">
      <c r="A35" s="1" t="s">
        <v>86</v>
      </c>
      <c r="B35" s="10">
        <v>-0.22019080681207659</v>
      </c>
      <c r="D35"/>
    </row>
    <row r="36" spans="1:4" x14ac:dyDescent="0.3">
      <c r="A36" s="1" t="s">
        <v>99</v>
      </c>
      <c r="B36" s="10">
        <v>-0.19514000703273926</v>
      </c>
      <c r="D36"/>
    </row>
    <row r="37" spans="1:4" x14ac:dyDescent="0.3">
      <c r="A37" s="1" t="s">
        <v>145</v>
      </c>
      <c r="B37" s="10">
        <v>-0.19251070362842193</v>
      </c>
      <c r="D37"/>
    </row>
    <row r="38" spans="1:4" x14ac:dyDescent="0.3">
      <c r="A38" s="1" t="s">
        <v>144</v>
      </c>
      <c r="B38" s="10">
        <v>-0.18415883776669442</v>
      </c>
      <c r="D38"/>
    </row>
    <row r="39" spans="1:4" x14ac:dyDescent="0.3">
      <c r="A39" s="1" t="s">
        <v>35</v>
      </c>
      <c r="B39" s="10">
        <v>-0.1747414305829999</v>
      </c>
      <c r="D39"/>
    </row>
    <row r="40" spans="1:4" x14ac:dyDescent="0.3">
      <c r="A40" s="1" t="s">
        <v>97</v>
      </c>
      <c r="B40" s="10">
        <v>-0.15945537412617691</v>
      </c>
      <c r="D40"/>
    </row>
    <row r="41" spans="1:4" x14ac:dyDescent="0.3">
      <c r="A41" s="1" t="s">
        <v>38</v>
      </c>
      <c r="B41" s="10">
        <v>-0.1518771964458773</v>
      </c>
      <c r="D41"/>
    </row>
    <row r="42" spans="1:4" x14ac:dyDescent="0.3">
      <c r="A42" s="1" t="s">
        <v>100</v>
      </c>
      <c r="B42" s="10">
        <v>-0.13955278960906484</v>
      </c>
      <c r="D42"/>
    </row>
    <row r="43" spans="1:4" x14ac:dyDescent="0.3">
      <c r="A43" s="1" t="s">
        <v>146</v>
      </c>
      <c r="B43" s="10">
        <v>-0.13767712510812299</v>
      </c>
      <c r="D43"/>
    </row>
    <row r="44" spans="1:4" x14ac:dyDescent="0.3">
      <c r="A44" s="1" t="s">
        <v>19</v>
      </c>
      <c r="B44" s="10">
        <v>-0.12414501608586337</v>
      </c>
      <c r="D44"/>
    </row>
    <row r="45" spans="1:4" x14ac:dyDescent="0.3">
      <c r="A45" s="1" t="s">
        <v>135</v>
      </c>
      <c r="B45" s="10">
        <v>-0.11205346195625125</v>
      </c>
      <c r="D45"/>
    </row>
    <row r="46" spans="1:4" x14ac:dyDescent="0.3">
      <c r="A46" s="1" t="s">
        <v>26</v>
      </c>
      <c r="B46" s="10">
        <v>-0.1117835852188207</v>
      </c>
      <c r="D46"/>
    </row>
    <row r="47" spans="1:4" x14ac:dyDescent="0.3">
      <c r="A47" s="1" t="s">
        <v>120</v>
      </c>
      <c r="B47" s="10">
        <v>-0.10595836179644971</v>
      </c>
      <c r="D47"/>
    </row>
    <row r="48" spans="1:4" x14ac:dyDescent="0.3">
      <c r="A48" s="1" t="s">
        <v>101</v>
      </c>
      <c r="B48" s="10">
        <v>-8.815420597124865E-2</v>
      </c>
      <c r="D48"/>
    </row>
    <row r="49" spans="1:4" x14ac:dyDescent="0.3">
      <c r="A49" s="1" t="s">
        <v>30</v>
      </c>
      <c r="B49" s="10">
        <v>-7.1868205666316895E-2</v>
      </c>
      <c r="D49"/>
    </row>
    <row r="50" spans="1:4" x14ac:dyDescent="0.3">
      <c r="A50" s="1" t="s">
        <v>123</v>
      </c>
      <c r="B50" s="10">
        <v>-3.7867767972154465E-2</v>
      </c>
      <c r="D50"/>
    </row>
    <row r="51" spans="1:4" x14ac:dyDescent="0.3">
      <c r="A51" s="1" t="s">
        <v>34</v>
      </c>
      <c r="B51" s="10">
        <v>-1.4961753040798763E-2</v>
      </c>
      <c r="D51"/>
    </row>
    <row r="52" spans="1:4" x14ac:dyDescent="0.3">
      <c r="A52" s="1" t="s">
        <v>96</v>
      </c>
      <c r="B52" s="10">
        <v>-1.467118946912908E-2</v>
      </c>
      <c r="D52"/>
    </row>
    <row r="53" spans="1:4" x14ac:dyDescent="0.3">
      <c r="A53" s="1" t="s">
        <v>32</v>
      </c>
      <c r="B53" s="10">
        <v>3.0825595935177977E-2</v>
      </c>
      <c r="D53"/>
    </row>
    <row r="54" spans="1:4" x14ac:dyDescent="0.3">
      <c r="A54" s="1" t="s">
        <v>147</v>
      </c>
      <c r="B54" s="10">
        <v>6.6535499525489802E-2</v>
      </c>
      <c r="D54"/>
    </row>
    <row r="55" spans="1:4" x14ac:dyDescent="0.3">
      <c r="A55" s="1" t="s">
        <v>24</v>
      </c>
      <c r="B55" s="10">
        <v>6.9891352840133467E-2</v>
      </c>
      <c r="D55"/>
    </row>
    <row r="56" spans="1:4" x14ac:dyDescent="0.3">
      <c r="A56" s="1" t="s">
        <v>95</v>
      </c>
      <c r="B56" s="10">
        <v>8.7488721804511282E-2</v>
      </c>
      <c r="D56"/>
    </row>
    <row r="57" spans="1:4" x14ac:dyDescent="0.3">
      <c r="A57" s="1" t="s">
        <v>91</v>
      </c>
      <c r="B57" s="10">
        <v>0.14844853201420077</v>
      </c>
      <c r="D57"/>
    </row>
    <row r="58" spans="1:4" x14ac:dyDescent="0.3">
      <c r="A58" s="1" t="s">
        <v>131</v>
      </c>
      <c r="B58" s="10">
        <v>0.16392431361395449</v>
      </c>
      <c r="D58"/>
    </row>
    <row r="59" spans="1:4" x14ac:dyDescent="0.3">
      <c r="A59" s="1" t="s">
        <v>128</v>
      </c>
      <c r="B59" s="10">
        <v>0.22854552304486075</v>
      </c>
    </row>
    <row r="60" spans="1:4" x14ac:dyDescent="0.3">
      <c r="A60" s="1" t="s">
        <v>136</v>
      </c>
      <c r="B60" s="10">
        <v>0.24372061048038157</v>
      </c>
    </row>
    <row r="61" spans="1:4" x14ac:dyDescent="0.3">
      <c r="A61" s="1" t="s">
        <v>89</v>
      </c>
      <c r="B61" s="10">
        <v>0.26359108189152225</v>
      </c>
    </row>
    <row r="62" spans="1:4" x14ac:dyDescent="0.3">
      <c r="A62" s="1" t="s">
        <v>31</v>
      </c>
      <c r="B62" s="10">
        <v>0.3380173829665416</v>
      </c>
    </row>
    <row r="63" spans="1:4" x14ac:dyDescent="0.3">
      <c r="A63" s="1" t="s">
        <v>104</v>
      </c>
      <c r="B63" s="10">
        <v>0.36693822964657957</v>
      </c>
    </row>
    <row r="64" spans="1:4" x14ac:dyDescent="0.3">
      <c r="A64" s="1" t="s">
        <v>125</v>
      </c>
      <c r="B64" s="10">
        <v>0.43181727636380385</v>
      </c>
    </row>
    <row r="65" spans="1:2" x14ac:dyDescent="0.3">
      <c r="A65" s="1" t="s">
        <v>102</v>
      </c>
      <c r="B65" s="10">
        <v>0.50318761384335153</v>
      </c>
    </row>
    <row r="66" spans="1:2" x14ac:dyDescent="0.3">
      <c r="A66" s="1" t="s">
        <v>134</v>
      </c>
      <c r="B66" s="10">
        <v>0.56520168976964635</v>
      </c>
    </row>
    <row r="67" spans="1:2" x14ac:dyDescent="0.3">
      <c r="A67" s="1" t="s">
        <v>11</v>
      </c>
      <c r="B67" s="10">
        <v>0.67485014894571116</v>
      </c>
    </row>
    <row r="68" spans="1:2" x14ac:dyDescent="0.3">
      <c r="A68" s="1" t="s">
        <v>129</v>
      </c>
      <c r="B68" s="10">
        <v>0.95429517129775854</v>
      </c>
    </row>
    <row r="69" spans="1:2" x14ac:dyDescent="0.3">
      <c r="A69" s="1" t="s">
        <v>126</v>
      </c>
      <c r="B69" s="10">
        <v>1.0882322344190438</v>
      </c>
    </row>
    <row r="70" spans="1:2" x14ac:dyDescent="0.3">
      <c r="A70" s="1" t="s">
        <v>122</v>
      </c>
      <c r="B70" s="10">
        <v>-0.28588344939079147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29974-0F2B-4CAD-8428-55680255786F}">
  <dimension ref="A3:B63"/>
  <sheetViews>
    <sheetView workbookViewId="0">
      <selection activeCell="I13" sqref="I13"/>
    </sheetView>
  </sheetViews>
  <sheetFormatPr defaultRowHeight="14.4" x14ac:dyDescent="0.3"/>
  <cols>
    <col min="1" max="1" width="12.77734375" bestFit="1" customWidth="1"/>
    <col min="2" max="2" width="22.21875" style="37" bestFit="1" customWidth="1"/>
    <col min="3" max="3" width="9.77734375" bestFit="1" customWidth="1"/>
    <col min="4" max="4" width="8.77734375" bestFit="1" customWidth="1"/>
    <col min="5" max="5" width="12.21875" bestFit="1" customWidth="1"/>
    <col min="6" max="6" width="8.109375" bestFit="1" customWidth="1"/>
    <col min="7" max="7" width="8.77734375" bestFit="1" customWidth="1"/>
    <col min="8" max="8" width="9.77734375" bestFit="1" customWidth="1"/>
    <col min="9" max="9" width="8.77734375" bestFit="1" customWidth="1"/>
    <col min="10" max="10" width="10.77734375" bestFit="1" customWidth="1"/>
    <col min="11" max="11" width="8.77734375" bestFit="1" customWidth="1"/>
    <col min="12" max="13" width="8.109375" bestFit="1" customWidth="1"/>
    <col min="14" max="15" width="9.77734375" bestFit="1" customWidth="1"/>
    <col min="16" max="16" width="8.109375" bestFit="1" customWidth="1"/>
    <col min="17" max="17" width="9.109375" bestFit="1" customWidth="1"/>
    <col min="18" max="18" width="8.77734375" bestFit="1" customWidth="1"/>
    <col min="19" max="19" width="9.77734375" bestFit="1" customWidth="1"/>
    <col min="20" max="20" width="10.21875" bestFit="1" customWidth="1"/>
    <col min="21" max="21" width="9.109375" bestFit="1" customWidth="1"/>
    <col min="22" max="22" width="8.109375" bestFit="1" customWidth="1"/>
    <col min="23" max="23" width="9.77734375" bestFit="1" customWidth="1"/>
    <col min="24" max="29" width="9.109375" bestFit="1" customWidth="1"/>
    <col min="30" max="30" width="10.21875" bestFit="1" customWidth="1"/>
    <col min="31" max="31" width="9.109375" bestFit="1" customWidth="1"/>
    <col min="32" max="32" width="9.77734375" bestFit="1" customWidth="1"/>
    <col min="33" max="33" width="10.77734375" bestFit="1" customWidth="1"/>
    <col min="34" max="34" width="9.109375" bestFit="1" customWidth="1"/>
    <col min="35" max="35" width="10.21875" bestFit="1" customWidth="1"/>
    <col min="36" max="36" width="10.77734375" bestFit="1" customWidth="1"/>
    <col min="37" max="38" width="10.21875" bestFit="1" customWidth="1"/>
    <col min="39" max="39" width="10.77734375" bestFit="1" customWidth="1"/>
    <col min="40" max="41" width="10.21875" bestFit="1" customWidth="1"/>
    <col min="42" max="42" width="10.77734375" bestFit="1" customWidth="1"/>
    <col min="43" max="44" width="11.21875" bestFit="1" customWidth="1"/>
    <col min="45" max="45" width="10.77734375" bestFit="1" customWidth="1"/>
    <col min="46" max="46" width="11.88671875" bestFit="1" customWidth="1"/>
  </cols>
  <sheetData>
    <row r="3" spans="1:2" x14ac:dyDescent="0.3">
      <c r="A3" s="36" t="s">
        <v>121</v>
      </c>
      <c r="B3" s="10" t="s">
        <v>149</v>
      </c>
    </row>
    <row r="4" spans="1:2" x14ac:dyDescent="0.3">
      <c r="A4" s="1" t="s">
        <v>96</v>
      </c>
      <c r="B4" s="10">
        <v>0.65818319999999997</v>
      </c>
    </row>
    <row r="5" spans="1:2" x14ac:dyDescent="0.3">
      <c r="A5" s="1" t="s">
        <v>128</v>
      </c>
      <c r="B5" s="10">
        <v>0.62712659999999998</v>
      </c>
    </row>
    <row r="6" spans="1:2" x14ac:dyDescent="0.3">
      <c r="A6" s="1" t="s">
        <v>11</v>
      </c>
      <c r="B6" s="10">
        <v>0.32727379999999995</v>
      </c>
    </row>
    <row r="7" spans="1:2" x14ac:dyDescent="0.3">
      <c r="A7" s="1" t="s">
        <v>90</v>
      </c>
      <c r="B7" s="10">
        <v>0.19267019999999999</v>
      </c>
    </row>
    <row r="8" spans="1:2" x14ac:dyDescent="0.3">
      <c r="A8" s="1" t="s">
        <v>33</v>
      </c>
      <c r="B8" s="10">
        <v>0.17008710000000002</v>
      </c>
    </row>
    <row r="9" spans="1:2" x14ac:dyDescent="0.3">
      <c r="A9" s="1" t="s">
        <v>17</v>
      </c>
      <c r="B9" s="10">
        <v>0.16497150000000002</v>
      </c>
    </row>
    <row r="10" spans="1:2" x14ac:dyDescent="0.3">
      <c r="A10" s="1" t="s">
        <v>123</v>
      </c>
      <c r="B10" s="10">
        <v>0.15009230000000001</v>
      </c>
    </row>
    <row r="11" spans="1:2" x14ac:dyDescent="0.3">
      <c r="A11" s="1" t="s">
        <v>120</v>
      </c>
      <c r="B11" s="10">
        <v>0.13798460000000001</v>
      </c>
    </row>
    <row r="12" spans="1:2" x14ac:dyDescent="0.3">
      <c r="A12" s="1" t="s">
        <v>95</v>
      </c>
      <c r="B12" s="10">
        <v>0.12622649999999999</v>
      </c>
    </row>
    <row r="13" spans="1:2" x14ac:dyDescent="0.3">
      <c r="A13" s="1" t="s">
        <v>25</v>
      </c>
      <c r="B13" s="10">
        <v>0.12166589999999999</v>
      </c>
    </row>
    <row r="14" spans="1:2" x14ac:dyDescent="0.3">
      <c r="A14" s="1" t="s">
        <v>130</v>
      </c>
      <c r="B14" s="10">
        <v>0.1210586</v>
      </c>
    </row>
    <row r="15" spans="1:2" x14ac:dyDescent="0.3">
      <c r="A15" s="1" t="s">
        <v>125</v>
      </c>
      <c r="B15" s="10">
        <v>0.10751939999999999</v>
      </c>
    </row>
    <row r="16" spans="1:2" x14ac:dyDescent="0.3">
      <c r="A16" s="1" t="s">
        <v>19</v>
      </c>
      <c r="B16" s="10">
        <v>0.107417</v>
      </c>
    </row>
    <row r="17" spans="1:2" x14ac:dyDescent="0.3">
      <c r="A17" s="1" t="s">
        <v>134</v>
      </c>
      <c r="B17" s="10">
        <v>8.7515400000000007E-2</v>
      </c>
    </row>
    <row r="18" spans="1:2" x14ac:dyDescent="0.3">
      <c r="A18" s="1" t="s">
        <v>22</v>
      </c>
      <c r="B18" s="10">
        <v>8.1018000000000007E-2</v>
      </c>
    </row>
    <row r="19" spans="1:2" x14ac:dyDescent="0.3">
      <c r="A19" s="1" t="s">
        <v>88</v>
      </c>
      <c r="B19" s="10">
        <v>7.4890299999999993E-2</v>
      </c>
    </row>
    <row r="20" spans="1:2" x14ac:dyDescent="0.3">
      <c r="A20" s="1" t="s">
        <v>131</v>
      </c>
      <c r="B20" s="10">
        <v>7.2433200000000003E-2</v>
      </c>
    </row>
    <row r="21" spans="1:2" x14ac:dyDescent="0.3">
      <c r="A21" s="1" t="s">
        <v>99</v>
      </c>
      <c r="B21" s="10">
        <v>6.0994799999999995E-2</v>
      </c>
    </row>
    <row r="22" spans="1:2" x14ac:dyDescent="0.3">
      <c r="A22" s="1" t="s">
        <v>27</v>
      </c>
      <c r="B22" s="10">
        <v>0.06</v>
      </c>
    </row>
    <row r="23" spans="1:2" x14ac:dyDescent="0.3">
      <c r="A23" s="1" t="s">
        <v>20</v>
      </c>
      <c r="B23" s="10">
        <v>5.7076399999999999E-2</v>
      </c>
    </row>
    <row r="24" spans="1:2" x14ac:dyDescent="0.3">
      <c r="A24" s="1" t="s">
        <v>126</v>
      </c>
      <c r="B24" s="10">
        <v>5.52191E-2</v>
      </c>
    </row>
    <row r="25" spans="1:2" x14ac:dyDescent="0.3">
      <c r="A25" s="1" t="s">
        <v>26</v>
      </c>
      <c r="B25" s="10">
        <v>5.2821E-2</v>
      </c>
    </row>
    <row r="26" spans="1:2" x14ac:dyDescent="0.3">
      <c r="A26" s="1" t="s">
        <v>21</v>
      </c>
      <c r="B26" s="10">
        <v>1.3094600000000001E-2</v>
      </c>
    </row>
    <row r="27" spans="1:2" x14ac:dyDescent="0.3">
      <c r="A27" s="1" t="s">
        <v>29</v>
      </c>
      <c r="B27" s="10">
        <v>1.2515199999999999E-2</v>
      </c>
    </row>
    <row r="28" spans="1:2" x14ac:dyDescent="0.3">
      <c r="A28" s="1" t="s">
        <v>36</v>
      </c>
      <c r="B28" s="10"/>
    </row>
    <row r="29" spans="1:2" x14ac:dyDescent="0.3">
      <c r="A29" s="1" t="s">
        <v>93</v>
      </c>
      <c r="B29" s="10"/>
    </row>
    <row r="30" spans="1:2" x14ac:dyDescent="0.3">
      <c r="A30" s="1" t="s">
        <v>91</v>
      </c>
      <c r="B30" s="10"/>
    </row>
    <row r="31" spans="1:2" x14ac:dyDescent="0.3">
      <c r="A31" s="1" t="s">
        <v>141</v>
      </c>
      <c r="B31" s="10"/>
    </row>
    <row r="32" spans="1:2" x14ac:dyDescent="0.3">
      <c r="A32" s="1" t="s">
        <v>105</v>
      </c>
      <c r="B32" s="10"/>
    </row>
    <row r="33" spans="1:2" x14ac:dyDescent="0.3">
      <c r="A33" s="1" t="s">
        <v>28</v>
      </c>
      <c r="B33" s="10">
        <v>-2.9134999999999999E-3</v>
      </c>
    </row>
    <row r="34" spans="1:2" x14ac:dyDescent="0.3">
      <c r="A34" s="1" t="s">
        <v>86</v>
      </c>
      <c r="B34" s="10">
        <v>-1.3821099999999999E-2</v>
      </c>
    </row>
    <row r="35" spans="1:2" x14ac:dyDescent="0.3">
      <c r="A35" s="1" t="s">
        <v>34</v>
      </c>
      <c r="B35" s="10">
        <v>-5.2910399999999996E-2</v>
      </c>
    </row>
    <row r="36" spans="1:2" x14ac:dyDescent="0.3">
      <c r="A36" s="1" t="s">
        <v>100</v>
      </c>
      <c r="B36" s="10">
        <v>-8.3742199999999989E-2</v>
      </c>
    </row>
    <row r="37" spans="1:2" x14ac:dyDescent="0.3">
      <c r="A37" s="1" t="s">
        <v>32</v>
      </c>
      <c r="B37" s="10">
        <v>-0.10018050000000001</v>
      </c>
    </row>
    <row r="38" spans="1:2" x14ac:dyDescent="0.3">
      <c r="A38" s="1" t="s">
        <v>103</v>
      </c>
      <c r="B38" s="10">
        <v>-0.10969419999999999</v>
      </c>
    </row>
    <row r="39" spans="1:2" x14ac:dyDescent="0.3">
      <c r="A39" s="1" t="s">
        <v>106</v>
      </c>
      <c r="B39" s="10">
        <v>-0.13553589999999999</v>
      </c>
    </row>
    <row r="40" spans="1:2" x14ac:dyDescent="0.3">
      <c r="A40" s="1" t="s">
        <v>35</v>
      </c>
      <c r="B40" s="10">
        <v>-0.14449960000000001</v>
      </c>
    </row>
    <row r="41" spans="1:2" x14ac:dyDescent="0.3">
      <c r="A41" s="1" t="s">
        <v>31</v>
      </c>
      <c r="B41" s="10">
        <v>-0.15290429999999999</v>
      </c>
    </row>
    <row r="42" spans="1:2" x14ac:dyDescent="0.3">
      <c r="A42" s="1" t="s">
        <v>24</v>
      </c>
      <c r="B42" s="10">
        <v>-0.15772600000000001</v>
      </c>
    </row>
    <row r="43" spans="1:2" x14ac:dyDescent="0.3">
      <c r="A43" s="1" t="s">
        <v>18</v>
      </c>
      <c r="B43" s="10">
        <v>-0.18197559999999999</v>
      </c>
    </row>
    <row r="44" spans="1:2" x14ac:dyDescent="0.3">
      <c r="A44" s="1" t="s">
        <v>77</v>
      </c>
      <c r="B44" s="10">
        <v>-0.23</v>
      </c>
    </row>
    <row r="45" spans="1:2" x14ac:dyDescent="0.3">
      <c r="A45" s="1" t="s">
        <v>23</v>
      </c>
      <c r="B45" s="10">
        <v>-0.26910010000000001</v>
      </c>
    </row>
    <row r="46" spans="1:2" x14ac:dyDescent="0.3">
      <c r="A46" s="1" t="s">
        <v>98</v>
      </c>
      <c r="B46" s="10">
        <v>-0.2696036</v>
      </c>
    </row>
    <row r="47" spans="1:2" x14ac:dyDescent="0.3">
      <c r="A47" s="1" t="s">
        <v>94</v>
      </c>
      <c r="B47" s="10">
        <v>-0.32317849999999998</v>
      </c>
    </row>
    <row r="48" spans="1:2" x14ac:dyDescent="0.3">
      <c r="A48" s="1" t="s">
        <v>87</v>
      </c>
      <c r="B48" s="10">
        <v>-0.37753560000000003</v>
      </c>
    </row>
    <row r="49" spans="1:2" x14ac:dyDescent="0.3">
      <c r="A49" s="1" t="s">
        <v>129</v>
      </c>
      <c r="B49" s="10">
        <v>-0.43113819999999997</v>
      </c>
    </row>
    <row r="50" spans="1:2" x14ac:dyDescent="0.3">
      <c r="A50" s="1" t="s">
        <v>107</v>
      </c>
      <c r="B50" s="10">
        <v>-0.64368459999999994</v>
      </c>
    </row>
    <row r="51" spans="1:2" x14ac:dyDescent="0.3">
      <c r="A51" s="1" t="s">
        <v>133</v>
      </c>
      <c r="B51" s="10">
        <v>-0.82028840000000003</v>
      </c>
    </row>
    <row r="52" spans="1:2" x14ac:dyDescent="0.3">
      <c r="A52" s="1" t="s">
        <v>101</v>
      </c>
      <c r="B52" s="10">
        <v>-0.86173630000000001</v>
      </c>
    </row>
    <row r="53" spans="1:2" x14ac:dyDescent="0.3">
      <c r="A53" s="1" t="s">
        <v>89</v>
      </c>
      <c r="B53" s="10">
        <v>-1.0269716</v>
      </c>
    </row>
    <row r="54" spans="1:2" x14ac:dyDescent="0.3">
      <c r="A54" s="1" t="s">
        <v>124</v>
      </c>
      <c r="B54" s="10">
        <v>-1.0790264000000001</v>
      </c>
    </row>
    <row r="55" spans="1:2" x14ac:dyDescent="0.3">
      <c r="A55" s="1" t="s">
        <v>38</v>
      </c>
      <c r="B55" s="10">
        <v>-1.5827394000000001</v>
      </c>
    </row>
    <row r="56" spans="1:2" x14ac:dyDescent="0.3">
      <c r="A56" s="1" t="s">
        <v>92</v>
      </c>
      <c r="B56" s="10">
        <v>-1.7182519999999999</v>
      </c>
    </row>
    <row r="57" spans="1:2" x14ac:dyDescent="0.3">
      <c r="A57" s="1" t="s">
        <v>97</v>
      </c>
      <c r="B57" s="10">
        <v>-11.076388400000001</v>
      </c>
    </row>
    <row r="58" spans="1:2" x14ac:dyDescent="0.3">
      <c r="A58" s="1" t="s">
        <v>102</v>
      </c>
      <c r="B58" s="10">
        <v>-17.487546099999999</v>
      </c>
    </row>
    <row r="59" spans="1:2" x14ac:dyDescent="0.3">
      <c r="A59" s="1" t="s">
        <v>104</v>
      </c>
      <c r="B59" s="10">
        <v>-20.172681700000002</v>
      </c>
    </row>
    <row r="60" spans="1:2" x14ac:dyDescent="0.3">
      <c r="A60" s="1" t="s">
        <v>30</v>
      </c>
      <c r="B60" s="10">
        <v>-26.8156076</v>
      </c>
    </row>
    <row r="61" spans="1:2" x14ac:dyDescent="0.3">
      <c r="A61" s="1" t="s">
        <v>127</v>
      </c>
      <c r="B61" s="10">
        <v>-43.321413700000001</v>
      </c>
    </row>
    <row r="62" spans="1:2" x14ac:dyDescent="0.3">
      <c r="A62" s="1" t="s">
        <v>85</v>
      </c>
      <c r="B62" s="10">
        <v>-161.25454070000001</v>
      </c>
    </row>
    <row r="63" spans="1:2" x14ac:dyDescent="0.3">
      <c r="A63" s="1" t="s">
        <v>122</v>
      </c>
      <c r="B63" s="10">
        <v>-287.2574815000001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247F8-79FD-482A-8D45-28E669EFFFBB}">
  <sheetPr codeName="Sheet3"/>
  <dimension ref="A1:Y100"/>
  <sheetViews>
    <sheetView zoomScale="85" zoomScaleNormal="85" workbookViewId="0">
      <pane xSplit="1" topLeftCell="E1" activePane="topRight" state="frozen"/>
      <selection pane="topRight" activeCell="A4" sqref="A4"/>
    </sheetView>
  </sheetViews>
  <sheetFormatPr defaultRowHeight="14.4" x14ac:dyDescent="0.3"/>
  <cols>
    <col min="1" max="1" width="23.21875" bestFit="1" customWidth="1"/>
    <col min="2" max="2" width="23.5546875" customWidth="1"/>
    <col min="3" max="3" width="19" style="9" bestFit="1" customWidth="1"/>
    <col min="4" max="4" width="16.5546875" style="37" bestFit="1" customWidth="1"/>
    <col min="5" max="5" width="16.33203125" style="37" bestFit="1" customWidth="1"/>
    <col min="6" max="6" width="16.109375" style="37" bestFit="1" customWidth="1"/>
    <col min="7" max="7" width="10.21875" style="8" bestFit="1" customWidth="1"/>
    <col min="8" max="8" width="10.109375" style="8" bestFit="1" customWidth="1"/>
    <col min="9" max="9" width="11.44140625" style="8" bestFit="1" customWidth="1"/>
    <col min="10" max="10" width="18" style="37" bestFit="1" customWidth="1"/>
    <col min="11" max="11" width="14.109375" style="37" bestFit="1" customWidth="1"/>
    <col min="12" max="12" width="21.109375" style="39" bestFit="1" customWidth="1"/>
    <col min="13" max="13" width="20" style="39" bestFit="1" customWidth="1"/>
    <col min="14" max="14" width="13.77734375" style="40" customWidth="1"/>
    <col min="15" max="15" width="26.44140625" style="37" bestFit="1" customWidth="1"/>
    <col min="16" max="16" width="21.88671875" style="37" customWidth="1"/>
    <col min="17" max="17" width="20.77734375" style="37" customWidth="1"/>
    <col min="18" max="18" width="21.21875" style="37" bestFit="1" customWidth="1"/>
    <col min="19" max="19" width="8.33203125" style="8" bestFit="1" customWidth="1"/>
    <col min="20" max="20" width="13.33203125" style="37" bestFit="1" customWidth="1"/>
    <col min="21" max="22" width="16.5546875" style="37" customWidth="1"/>
    <col min="23" max="23" width="9.5546875" customWidth="1"/>
    <col min="24" max="24" width="14.77734375" customWidth="1"/>
    <col min="25" max="25" width="10.5546875" style="11" bestFit="1" customWidth="1"/>
  </cols>
  <sheetData>
    <row r="1" spans="1:25" ht="20.399999999999999" thickBot="1" x14ac:dyDescent="0.45">
      <c r="A1" s="12" t="s">
        <v>152</v>
      </c>
    </row>
    <row r="2" spans="1:25" ht="15" thickTop="1" x14ac:dyDescent="0.3"/>
    <row r="3" spans="1:25" x14ac:dyDescent="0.3">
      <c r="A3" s="15" t="s">
        <v>83</v>
      </c>
      <c r="C3" s="9" t="s">
        <v>13</v>
      </c>
      <c r="D3" s="37" t="s">
        <v>140</v>
      </c>
      <c r="E3" s="37" t="s">
        <v>139</v>
      </c>
      <c r="F3" s="37" t="s">
        <v>63</v>
      </c>
      <c r="H3" s="8" t="s">
        <v>7</v>
      </c>
      <c r="O3" s="37" t="s">
        <v>79</v>
      </c>
    </row>
    <row r="4" spans="1:25" x14ac:dyDescent="0.3">
      <c r="A4" t="s">
        <v>58</v>
      </c>
      <c r="B4" t="s">
        <v>56</v>
      </c>
      <c r="C4" s="9" t="s">
        <v>12</v>
      </c>
      <c r="D4" s="37" t="s">
        <v>55</v>
      </c>
      <c r="E4" s="37" t="s">
        <v>54</v>
      </c>
      <c r="F4" s="37" t="s">
        <v>53</v>
      </c>
      <c r="G4" s="8" t="s">
        <v>50</v>
      </c>
      <c r="H4" s="8" t="s">
        <v>49</v>
      </c>
      <c r="I4" s="8" t="s">
        <v>48</v>
      </c>
      <c r="J4" s="37" t="s">
        <v>0</v>
      </c>
      <c r="K4" s="37" t="s">
        <v>60</v>
      </c>
      <c r="L4" s="39" t="s">
        <v>59</v>
      </c>
      <c r="M4" s="39" t="s">
        <v>1</v>
      </c>
      <c r="N4" s="40" t="s">
        <v>47</v>
      </c>
      <c r="O4" s="37" t="s">
        <v>46</v>
      </c>
      <c r="P4" s="37" t="s">
        <v>45</v>
      </c>
      <c r="Q4" s="37" t="s">
        <v>44</v>
      </c>
      <c r="R4" s="37" t="s">
        <v>43</v>
      </c>
      <c r="S4" s="8" t="s">
        <v>14</v>
      </c>
      <c r="T4" s="37" t="s">
        <v>42</v>
      </c>
      <c r="U4" s="37" t="s">
        <v>41</v>
      </c>
      <c r="V4" s="37" t="s">
        <v>40</v>
      </c>
      <c r="W4" t="s">
        <v>51</v>
      </c>
      <c r="X4" t="s">
        <v>52</v>
      </c>
      <c r="Y4" s="11" t="s">
        <v>39</v>
      </c>
    </row>
    <row r="5" spans="1:25" x14ac:dyDescent="0.3">
      <c r="A5" t="s">
        <v>128</v>
      </c>
      <c r="B5" s="8">
        <v>124.777</v>
      </c>
      <c r="C5" s="9">
        <v>23541441000</v>
      </c>
      <c r="D5" s="37">
        <v>4.2900000000000001E-2</v>
      </c>
      <c r="E5" s="37">
        <v>0.66170000000000007</v>
      </c>
      <c r="F5" s="37">
        <v>1.1083600000000001E-2</v>
      </c>
      <c r="G5" s="8">
        <v>29.584150000000001</v>
      </c>
      <c r="H5" s="8">
        <v>53.90551</v>
      </c>
      <c r="I5" s="8">
        <v>0.96960000000000002</v>
      </c>
      <c r="J5" s="37">
        <v>0.62712659999999998</v>
      </c>
      <c r="K5" s="37">
        <v>0.5568514</v>
      </c>
      <c r="L5" s="39">
        <v>56546000000</v>
      </c>
      <c r="M5" s="39">
        <v>9952000000</v>
      </c>
      <c r="N5" s="40">
        <v>0.15101999999999999</v>
      </c>
      <c r="O5" s="37">
        <v>0.93609271523178816</v>
      </c>
      <c r="P5" s="37">
        <v>1.5243815466904391</v>
      </c>
      <c r="Q5" s="37">
        <v>0.67105180000000009</v>
      </c>
      <c r="R5" s="37">
        <v>0.6242991</v>
      </c>
      <c r="S5" s="8">
        <v>2.54</v>
      </c>
      <c r="T5" s="37">
        <v>2.3465085638998682</v>
      </c>
      <c r="U5" s="37">
        <v>0.98449549999999997</v>
      </c>
      <c r="V5" s="37">
        <v>0.91743889999999995</v>
      </c>
      <c r="W5" t="s">
        <v>15</v>
      </c>
      <c r="X5">
        <v>41</v>
      </c>
      <c r="Y5" s="11">
        <v>36182</v>
      </c>
    </row>
    <row r="6" spans="1:25" x14ac:dyDescent="0.3">
      <c r="A6" t="s">
        <v>125</v>
      </c>
      <c r="B6" s="8">
        <v>196.916</v>
      </c>
      <c r="C6" s="9">
        <v>9386750327</v>
      </c>
      <c r="D6" s="37">
        <v>8.8079999999999992E-2</v>
      </c>
      <c r="E6" s="37">
        <v>0.64437999999999984</v>
      </c>
      <c r="F6" s="37">
        <v>6.6769000000000004E-3</v>
      </c>
      <c r="G6" s="8">
        <v>3.7934899999999998</v>
      </c>
      <c r="H6" s="8">
        <v>41.297519999999999</v>
      </c>
      <c r="I6" s="8">
        <v>1.8148</v>
      </c>
      <c r="J6" s="37">
        <v>0.10751939999999999</v>
      </c>
      <c r="K6" s="37">
        <v>9.2871200000000001E-2</v>
      </c>
      <c r="L6" s="39">
        <v>38219000000</v>
      </c>
      <c r="M6" s="39">
        <v>130900000000</v>
      </c>
      <c r="N6" s="40">
        <v>0.45773999999999998</v>
      </c>
      <c r="O6" s="37">
        <v>0.10491230341078239</v>
      </c>
      <c r="P6" s="37">
        <v>0.10990892246666138</v>
      </c>
      <c r="Q6" s="37">
        <v>0.107354</v>
      </c>
      <c r="R6" s="37">
        <v>0.17859660000000002</v>
      </c>
      <c r="S6" s="8">
        <v>5.53</v>
      </c>
      <c r="T6" s="37">
        <v>0.90689655172413808</v>
      </c>
      <c r="U6" s="37">
        <v>0.19507010000000002</v>
      </c>
      <c r="V6" s="37">
        <v>0.3687684</v>
      </c>
      <c r="W6" t="s">
        <v>15</v>
      </c>
      <c r="X6">
        <v>44</v>
      </c>
      <c r="Y6" s="11">
        <v>35565</v>
      </c>
    </row>
    <row r="7" spans="1:25" ht="14.4" customHeight="1" x14ac:dyDescent="0.3">
      <c r="A7" t="s">
        <v>131</v>
      </c>
      <c r="B7" s="8">
        <v>271.43700000000001</v>
      </c>
      <c r="C7" s="9">
        <v>2793105010</v>
      </c>
      <c r="D7" s="37">
        <v>0.12909999999999999</v>
      </c>
      <c r="E7" s="37">
        <v>0.47744999999999999</v>
      </c>
      <c r="F7" s="37">
        <v>1.85331E-2</v>
      </c>
      <c r="G7" s="8">
        <v>11.58658</v>
      </c>
      <c r="H7" s="8">
        <v>172.47549000000001</v>
      </c>
      <c r="I7" s="8">
        <v>5.0103999999999997</v>
      </c>
      <c r="J7" s="37">
        <v>7.2433200000000003E-2</v>
      </c>
      <c r="K7" s="37">
        <v>7.2586800000000007E-2</v>
      </c>
      <c r="L7" s="39">
        <v>3581000000</v>
      </c>
      <c r="M7" s="39">
        <v>8213000000</v>
      </c>
      <c r="N7" s="40">
        <v>0.11264</v>
      </c>
      <c r="O7" s="37">
        <v>2.1456669448086885E-2</v>
      </c>
      <c r="P7" s="37">
        <v>9.4757835346634955E-3</v>
      </c>
      <c r="Q7" s="37">
        <v>0.21981529999999999</v>
      </c>
      <c r="R7" s="37">
        <v>0.31783400000000001</v>
      </c>
      <c r="S7" s="8">
        <v>2.04</v>
      </c>
      <c r="T7" s="37">
        <v>-0.52558139534883719</v>
      </c>
      <c r="U7" s="37">
        <v>7.7657699999999996E-2</v>
      </c>
      <c r="W7" t="s">
        <v>15</v>
      </c>
      <c r="X7">
        <v>36</v>
      </c>
      <c r="Y7" s="11">
        <v>40358</v>
      </c>
    </row>
    <row r="8" spans="1:25" x14ac:dyDescent="0.3">
      <c r="A8" t="s">
        <v>120</v>
      </c>
      <c r="B8" s="8">
        <v>45.636000000000003</v>
      </c>
      <c r="C8" s="9">
        <v>2097077792</v>
      </c>
      <c r="D8" s="37">
        <v>5.1060000000000001E-2</v>
      </c>
      <c r="E8" s="37">
        <v>0.52159</v>
      </c>
      <c r="F8" s="37">
        <v>3.67807E-2</v>
      </c>
      <c r="G8" s="8">
        <v>101.49926000000001</v>
      </c>
      <c r="H8" s="8">
        <v>589.54999999999995</v>
      </c>
      <c r="I8" s="8">
        <v>3.9807999999999999</v>
      </c>
      <c r="J8" s="37">
        <v>0.13798460000000001</v>
      </c>
      <c r="K8" s="37">
        <v>0.18008740000000001</v>
      </c>
      <c r="L8" s="39">
        <v>980322000</v>
      </c>
      <c r="M8" s="39">
        <v>254915000</v>
      </c>
      <c r="N8" s="40">
        <v>5.6669999999999998E-2</v>
      </c>
      <c r="O8" s="37">
        <v>0.2998375015004684</v>
      </c>
      <c r="P8" s="37">
        <v>0.24516794445547574</v>
      </c>
      <c r="Q8" s="37">
        <v>0.22741230000000001</v>
      </c>
      <c r="S8" s="8">
        <v>0.2</v>
      </c>
      <c r="T8" s="37">
        <v>1.8571428571428572</v>
      </c>
      <c r="U8" s="37">
        <v>0.70997589999999999</v>
      </c>
      <c r="W8" t="s">
        <v>15</v>
      </c>
      <c r="X8">
        <v>19</v>
      </c>
      <c r="Y8" s="11">
        <v>44104</v>
      </c>
    </row>
    <row r="9" spans="1:25" x14ac:dyDescent="0.3">
      <c r="A9" t="s">
        <v>130</v>
      </c>
      <c r="B9" s="8">
        <v>83.123999999999995</v>
      </c>
      <c r="C9" s="9">
        <v>1208124365</v>
      </c>
      <c r="D9" s="37">
        <v>1.82E-3</v>
      </c>
      <c r="E9" s="37">
        <v>0.70576000000000005</v>
      </c>
      <c r="F9" s="37">
        <v>1.66982E-2</v>
      </c>
      <c r="G9" s="8">
        <v>18.582529999999998</v>
      </c>
      <c r="H9" s="8">
        <v>82.135480000000001</v>
      </c>
      <c r="I9" s="8">
        <v>1.1192</v>
      </c>
      <c r="J9" s="37">
        <v>0.1210586</v>
      </c>
      <c r="K9" s="37">
        <v>0.22736490000000001</v>
      </c>
      <c r="L9" s="39">
        <v>1597000000</v>
      </c>
      <c r="M9" s="39">
        <v>1126000000</v>
      </c>
      <c r="N9" s="40">
        <v>9.7420000000000007E-2</v>
      </c>
      <c r="O9" s="37">
        <v>0.31156716417910446</v>
      </c>
      <c r="P9" s="37">
        <v>0.25779036827195467</v>
      </c>
      <c r="Q9" s="37">
        <v>0.2440726</v>
      </c>
      <c r="R9" s="37">
        <v>0.41270560000000001</v>
      </c>
      <c r="S9" s="8">
        <v>1.55</v>
      </c>
      <c r="T9" s="37">
        <v>14.5</v>
      </c>
      <c r="U9" s="37">
        <v>-0.12199149999999999</v>
      </c>
      <c r="W9" t="s">
        <v>15</v>
      </c>
      <c r="X9">
        <v>32</v>
      </c>
      <c r="Y9" s="11">
        <v>42145</v>
      </c>
    </row>
    <row r="10" spans="1:25" x14ac:dyDescent="0.3">
      <c r="A10" t="s">
        <v>32</v>
      </c>
      <c r="B10" s="8">
        <v>4.6029999999999998</v>
      </c>
      <c r="C10" s="9">
        <v>992374747</v>
      </c>
      <c r="D10" s="37">
        <v>7.7119999999999994E-2</v>
      </c>
      <c r="E10" s="37">
        <v>0.66876999999999998</v>
      </c>
      <c r="F10" s="37">
        <v>7.3228399999999999E-2</v>
      </c>
      <c r="G10" s="8">
        <v>0.35376000000000002</v>
      </c>
      <c r="I10" s="8">
        <v>54.575299999999999</v>
      </c>
      <c r="J10" s="37">
        <v>-0.10018050000000001</v>
      </c>
      <c r="K10" s="37">
        <v>-0.16057459999999998</v>
      </c>
      <c r="L10" s="39">
        <v>1705000000</v>
      </c>
      <c r="M10" s="39">
        <v>18820000000</v>
      </c>
      <c r="N10" s="40">
        <v>55.029240000000001</v>
      </c>
      <c r="O10" s="37">
        <v>-0.11535292502059867</v>
      </c>
      <c r="P10" s="37">
        <v>-0.10404312668463611</v>
      </c>
      <c r="Q10" s="37">
        <v>-0.1267259</v>
      </c>
      <c r="R10" s="37">
        <v>-8.7939500000000004E-2</v>
      </c>
      <c r="S10" s="8">
        <v>-2.17</v>
      </c>
      <c r="W10" t="s">
        <v>15</v>
      </c>
      <c r="X10">
        <v>8</v>
      </c>
      <c r="Y10" s="11">
        <v>26648</v>
      </c>
    </row>
    <row r="11" spans="1:25" x14ac:dyDescent="0.3">
      <c r="A11" t="s">
        <v>123</v>
      </c>
      <c r="B11" s="8">
        <v>135.911</v>
      </c>
      <c r="C11" s="9">
        <v>418928128</v>
      </c>
      <c r="D11" s="37">
        <v>9.3200000000000002E-3</v>
      </c>
      <c r="E11" s="37">
        <v>0.80764999999999998</v>
      </c>
      <c r="F11" s="37">
        <v>2.4542000000000001E-2</v>
      </c>
      <c r="G11" s="8">
        <v>8.2486499999999996</v>
      </c>
      <c r="H11" s="8">
        <v>48.634480000000003</v>
      </c>
      <c r="I11" s="8">
        <v>20.803899999999999</v>
      </c>
      <c r="J11" s="37">
        <v>0.15009230000000001</v>
      </c>
      <c r="K11" s="37">
        <v>0.16955719999999999</v>
      </c>
      <c r="L11" s="39">
        <v>4145000000</v>
      </c>
      <c r="M11" s="39">
        <v>1994000000</v>
      </c>
      <c r="N11" s="40">
        <v>0.23491999999999999</v>
      </c>
      <c r="O11" s="37">
        <v>9.8616426258463452E-2</v>
      </c>
      <c r="P11" s="37">
        <v>0.12904905738985528</v>
      </c>
      <c r="Q11" s="37">
        <v>0.26787529999999998</v>
      </c>
      <c r="R11" s="37">
        <v>0.24308279999999999</v>
      </c>
      <c r="S11" s="8">
        <v>2.9</v>
      </c>
      <c r="T11" s="37">
        <v>-0.6493349455864571</v>
      </c>
      <c r="W11" t="s">
        <v>15</v>
      </c>
      <c r="X11">
        <v>31</v>
      </c>
      <c r="Y11" s="11">
        <v>44175</v>
      </c>
    </row>
    <row r="12" spans="1:25" x14ac:dyDescent="0.3">
      <c r="A12" t="s">
        <v>35</v>
      </c>
      <c r="B12" s="8">
        <v>1.833</v>
      </c>
      <c r="C12" s="9">
        <v>327587846</v>
      </c>
      <c r="D12" s="37">
        <v>3.8609999999999998E-2</v>
      </c>
      <c r="E12" s="37">
        <v>0.38096999999999992</v>
      </c>
      <c r="F12" s="37">
        <v>0.1063814</v>
      </c>
      <c r="G12" s="8">
        <v>0.85548999999999997</v>
      </c>
      <c r="J12" s="37">
        <v>-0.14449960000000001</v>
      </c>
      <c r="K12" s="37">
        <v>-0.12819710000000001</v>
      </c>
      <c r="L12" s="39">
        <v>-117177000</v>
      </c>
      <c r="M12" s="39">
        <v>380161000</v>
      </c>
      <c r="N12" s="40">
        <v>1.71069</v>
      </c>
      <c r="O12" s="37">
        <v>0.20338074688020935</v>
      </c>
      <c r="P12" s="37">
        <v>0.24452092168294115</v>
      </c>
      <c r="Q12" s="37">
        <v>0.4585127</v>
      </c>
      <c r="R12" s="37">
        <v>2.0695149000000002</v>
      </c>
      <c r="S12" s="8">
        <v>-0.67</v>
      </c>
      <c r="W12" t="s">
        <v>15</v>
      </c>
      <c r="X12">
        <v>6</v>
      </c>
      <c r="Y12" s="11">
        <v>44112</v>
      </c>
    </row>
    <row r="13" spans="1:25" x14ac:dyDescent="0.3">
      <c r="A13" t="s">
        <v>33</v>
      </c>
      <c r="B13" s="8">
        <v>42.777000000000001</v>
      </c>
      <c r="C13" s="9">
        <v>178410025</v>
      </c>
      <c r="D13" s="37">
        <v>0.37325000000000003</v>
      </c>
      <c r="E13" s="37">
        <v>0.64178999999999997</v>
      </c>
      <c r="F13" s="37">
        <v>0.1582402</v>
      </c>
      <c r="G13" s="8">
        <v>3.9132699999999998</v>
      </c>
      <c r="H13" s="8">
        <v>31.882709999999999</v>
      </c>
      <c r="I13" s="8">
        <v>1.1108</v>
      </c>
      <c r="J13" s="37">
        <v>0.17008710000000002</v>
      </c>
      <c r="K13" s="37">
        <v>0.12402799999999999</v>
      </c>
      <c r="L13" s="39">
        <v>169669000</v>
      </c>
      <c r="M13" s="39">
        <v>5839000</v>
      </c>
      <c r="N13" s="40">
        <v>1.3780000000000001E-2</v>
      </c>
      <c r="O13" s="37">
        <v>-0.30930951223759406</v>
      </c>
      <c r="P13" s="37">
        <v>0.19357133341981972</v>
      </c>
      <c r="Q13" s="37">
        <v>0.77367590000000008</v>
      </c>
      <c r="R13" s="37">
        <v>0.83599059999999992</v>
      </c>
      <c r="S13" s="8">
        <v>0.71699999999999997</v>
      </c>
      <c r="T13" s="37">
        <v>0.51585623678646941</v>
      </c>
      <c r="V13" s="37">
        <v>0.65931510000000004</v>
      </c>
      <c r="W13" t="s">
        <v>15</v>
      </c>
      <c r="X13">
        <v>18</v>
      </c>
    </row>
    <row r="14" spans="1:25" x14ac:dyDescent="0.3">
      <c r="A14" t="s">
        <v>92</v>
      </c>
      <c r="B14" s="8">
        <v>0.83430000000000004</v>
      </c>
      <c r="C14" s="9">
        <v>157836560</v>
      </c>
      <c r="D14" s="37">
        <v>0.17474000000000001</v>
      </c>
      <c r="E14" s="37">
        <v>4.9759999999999999E-2</v>
      </c>
      <c r="F14" s="37">
        <v>3.4001099999999999E-2</v>
      </c>
      <c r="G14" s="8">
        <v>55.498640000000002</v>
      </c>
      <c r="J14" s="37">
        <v>-1.7182519999999999</v>
      </c>
      <c r="K14" s="37">
        <v>-1.8654866000000001</v>
      </c>
      <c r="L14" s="39">
        <v>-13834574</v>
      </c>
      <c r="M14" s="39">
        <v>2696205</v>
      </c>
      <c r="N14" s="40">
        <v>0.52110000000000001</v>
      </c>
      <c r="O14" s="37">
        <v>4.7606269896780962E-2</v>
      </c>
      <c r="P14" s="37">
        <v>4.2001160292807871E-2</v>
      </c>
      <c r="Q14" s="37">
        <v>0.73557509999999993</v>
      </c>
      <c r="R14" s="37">
        <v>0.52657319999999996</v>
      </c>
      <c r="S14" s="8">
        <v>-0.12</v>
      </c>
      <c r="W14" t="s">
        <v>15</v>
      </c>
      <c r="X14">
        <v>1</v>
      </c>
    </row>
    <row r="15" spans="1:25" hidden="1" x14ac:dyDescent="0.3">
      <c r="A15" t="s">
        <v>105</v>
      </c>
      <c r="B15" s="8">
        <v>5.14</v>
      </c>
      <c r="C15" s="9">
        <v>287076065</v>
      </c>
      <c r="D15" s="37">
        <v>0.18826999999999999</v>
      </c>
      <c r="E15" s="37">
        <v>0.3911</v>
      </c>
      <c r="F15" s="37">
        <v>9.2891100000000004E-2</v>
      </c>
      <c r="L15" s="39">
        <v>-415000000</v>
      </c>
      <c r="M15" s="39">
        <v>78500000</v>
      </c>
      <c r="N15" s="40">
        <v>0.16783999999999999</v>
      </c>
      <c r="S15" s="8">
        <v>-1.31</v>
      </c>
      <c r="W15" t="s">
        <v>15</v>
      </c>
      <c r="X15">
        <v>8</v>
      </c>
    </row>
    <row r="16" spans="1:25" x14ac:dyDescent="0.3">
      <c r="A16" t="s">
        <v>134</v>
      </c>
      <c r="B16" s="8">
        <v>386.39400000000001</v>
      </c>
      <c r="C16" s="9">
        <v>149012723</v>
      </c>
      <c r="D16" s="37">
        <v>0.25991999999999998</v>
      </c>
      <c r="E16" s="37">
        <v>0.66259000000000001</v>
      </c>
      <c r="F16" s="37">
        <v>5.2699999999999997E-2</v>
      </c>
      <c r="G16" s="8">
        <v>7.9506300000000003</v>
      </c>
      <c r="H16" s="8">
        <v>113.16131</v>
      </c>
      <c r="I16" s="8">
        <v>2.0255000000000001</v>
      </c>
      <c r="J16" s="37">
        <v>8.7515400000000007E-2</v>
      </c>
      <c r="K16" s="37">
        <v>7.2608900000000004E-2</v>
      </c>
      <c r="L16" s="39">
        <v>2390719319.7126532</v>
      </c>
      <c r="M16" s="39">
        <v>2094496216.6134057</v>
      </c>
      <c r="N16" s="40">
        <v>0.36216999999999999</v>
      </c>
      <c r="O16" s="37">
        <v>0.15554344865159364</v>
      </c>
      <c r="P16" s="37">
        <v>0.18313580433305668</v>
      </c>
      <c r="Q16" s="37">
        <v>0.1747312</v>
      </c>
      <c r="R16" s="37">
        <v>0.1830135</v>
      </c>
      <c r="S16" s="8">
        <v>5.729166666666667</v>
      </c>
      <c r="W16" t="s">
        <v>15</v>
      </c>
      <c r="X16">
        <v>29</v>
      </c>
      <c r="Y16" s="11">
        <v>43193</v>
      </c>
    </row>
    <row r="17" spans="1:25" x14ac:dyDescent="0.3">
      <c r="A17" t="s">
        <v>21</v>
      </c>
      <c r="B17" s="8">
        <v>1.9039999999999999</v>
      </c>
      <c r="C17" s="9">
        <v>138390000</v>
      </c>
      <c r="D17" s="37">
        <v>0.19131999999999999</v>
      </c>
      <c r="E17" s="37">
        <v>4.3999999999999997E-2</v>
      </c>
      <c r="F17" s="37">
        <v>1.9E-3</v>
      </c>
      <c r="G17" s="8">
        <v>0.62988999999999995</v>
      </c>
      <c r="H17" s="8">
        <v>13.771929999999999</v>
      </c>
      <c r="J17" s="37">
        <v>1.3094600000000001E-2</v>
      </c>
      <c r="K17" s="37">
        <v>4.6498999999999999E-2</v>
      </c>
      <c r="M17" s="39">
        <v>14637000</v>
      </c>
      <c r="N17" s="40">
        <v>4.3430000000000003E-2</v>
      </c>
      <c r="O17" s="37">
        <v>-4.8970208102538493E-2</v>
      </c>
      <c r="P17" s="37">
        <v>-0.17601366326823287</v>
      </c>
      <c r="Q17" s="37">
        <v>0.131581</v>
      </c>
      <c r="R17" s="37">
        <v>0.1261912</v>
      </c>
      <c r="S17" s="8">
        <v>0.22800000000000001</v>
      </c>
      <c r="T17" s="37">
        <v>0.22580645161290325</v>
      </c>
      <c r="U17" s="37">
        <v>0.35326340000000001</v>
      </c>
      <c r="W17" t="s">
        <v>15</v>
      </c>
      <c r="Y17" s="11">
        <v>41814</v>
      </c>
    </row>
    <row r="18" spans="1:25" hidden="1" x14ac:dyDescent="0.3">
      <c r="A18" t="s">
        <v>36</v>
      </c>
      <c r="B18" s="8">
        <v>1.552</v>
      </c>
      <c r="C18" s="9">
        <v>161101257</v>
      </c>
      <c r="D18" s="37">
        <v>0.14005999999999999</v>
      </c>
      <c r="E18" s="37">
        <v>9.2929999999999999E-2</v>
      </c>
      <c r="F18" s="37">
        <v>2.3698700000000003E-2</v>
      </c>
      <c r="H18" s="8">
        <v>1.8333299999999999</v>
      </c>
      <c r="L18" s="39">
        <v>-54653000</v>
      </c>
      <c r="M18" s="39">
        <v>600000</v>
      </c>
      <c r="N18" s="40">
        <v>2.4499999999999999E-3</v>
      </c>
      <c r="S18" s="8">
        <v>0.84</v>
      </c>
      <c r="W18" t="s">
        <v>15</v>
      </c>
      <c r="X18">
        <v>2</v>
      </c>
    </row>
    <row r="19" spans="1:25" x14ac:dyDescent="0.3">
      <c r="A19" t="s">
        <v>126</v>
      </c>
      <c r="B19" s="8">
        <v>175.577</v>
      </c>
      <c r="C19" s="9">
        <v>118140000</v>
      </c>
      <c r="D19" s="37">
        <v>1.7590000000000001E-2</v>
      </c>
      <c r="E19" s="37">
        <v>0.97667000000000004</v>
      </c>
      <c r="F19" s="37">
        <v>5.16941E-2</v>
      </c>
      <c r="G19" s="8">
        <v>4.6608299999999998</v>
      </c>
      <c r="I19" s="8">
        <v>-0.13</v>
      </c>
      <c r="J19" s="37">
        <v>5.52191E-2</v>
      </c>
      <c r="K19" s="37">
        <v>1.3546000000000001E-3</v>
      </c>
      <c r="L19" s="39">
        <v>557000000</v>
      </c>
      <c r="M19" s="39">
        <v>6145000000</v>
      </c>
      <c r="N19" s="40">
        <v>10.05728</v>
      </c>
      <c r="O19" s="37">
        <v>0.31806707536963574</v>
      </c>
      <c r="P19" s="37">
        <v>0.1221387696709586</v>
      </c>
      <c r="Q19" s="37">
        <v>4.8492199999999999E-2</v>
      </c>
      <c r="R19" s="37">
        <v>0.29686390000000001</v>
      </c>
      <c r="S19" s="8">
        <v>-0.02</v>
      </c>
      <c r="W19" t="s">
        <v>15</v>
      </c>
      <c r="X19">
        <v>20</v>
      </c>
      <c r="Y19" s="11">
        <v>42853</v>
      </c>
    </row>
    <row r="20" spans="1:25" x14ac:dyDescent="0.3">
      <c r="A20" t="s">
        <v>101</v>
      </c>
      <c r="B20" s="8">
        <v>2.242</v>
      </c>
      <c r="C20" s="9">
        <v>101865673</v>
      </c>
      <c r="D20" s="37">
        <v>0.27772999999999998</v>
      </c>
      <c r="E20" s="37">
        <v>0.10877000000000001</v>
      </c>
      <c r="F20" s="37">
        <v>0.15554299999999999</v>
      </c>
      <c r="G20" s="8">
        <v>14.487259999999999</v>
      </c>
      <c r="J20" s="37">
        <v>-0.86173630000000001</v>
      </c>
      <c r="K20" s="37">
        <v>-1.0990114</v>
      </c>
      <c r="L20" s="39">
        <v>-32171000</v>
      </c>
      <c r="M20" s="39">
        <v>206140000</v>
      </c>
      <c r="N20" s="40">
        <v>2.09422</v>
      </c>
      <c r="O20" s="37">
        <v>0.22116629398611276</v>
      </c>
      <c r="P20" s="37">
        <v>9.0347061784568083E-5</v>
      </c>
      <c r="Q20" s="37">
        <v>0.11399319999999999</v>
      </c>
      <c r="S20" s="8">
        <v>-0.9</v>
      </c>
      <c r="W20" t="s">
        <v>15</v>
      </c>
      <c r="X20">
        <v>4</v>
      </c>
    </row>
    <row r="21" spans="1:25" x14ac:dyDescent="0.3">
      <c r="A21" t="s">
        <v>31</v>
      </c>
      <c r="B21" s="8">
        <v>32.558</v>
      </c>
      <c r="C21" s="9">
        <v>100057548</v>
      </c>
      <c r="D21" s="37">
        <v>2.6149999999999996E-2</v>
      </c>
      <c r="E21" s="37">
        <v>1.02806</v>
      </c>
      <c r="F21" s="37">
        <v>0.12290580000000001</v>
      </c>
      <c r="G21" s="8">
        <v>4.6852400000000003</v>
      </c>
      <c r="J21" s="37">
        <v>-0.15290429999999999</v>
      </c>
      <c r="K21" s="37">
        <v>-0.13268150000000001</v>
      </c>
      <c r="L21" s="39">
        <v>-26332000</v>
      </c>
      <c r="M21" s="39">
        <v>314465000</v>
      </c>
      <c r="N21" s="40">
        <v>0.67874000000000001</v>
      </c>
      <c r="O21" s="37">
        <v>0.13037385614099128</v>
      </c>
      <c r="P21" s="37">
        <v>0.21718751421527149</v>
      </c>
      <c r="Q21" s="37">
        <v>0.30265000000000003</v>
      </c>
      <c r="S21" s="8">
        <v>-0.78</v>
      </c>
      <c r="W21" t="s">
        <v>15</v>
      </c>
      <c r="X21">
        <v>13</v>
      </c>
      <c r="Y21" s="11">
        <v>44518</v>
      </c>
    </row>
    <row r="22" spans="1:25" x14ac:dyDescent="0.3">
      <c r="A22" t="s">
        <v>29</v>
      </c>
      <c r="B22" s="8">
        <v>13.018000000000001</v>
      </c>
      <c r="C22" s="9">
        <v>93622616</v>
      </c>
      <c r="D22" s="37">
        <v>9.6980000000000011E-2</v>
      </c>
      <c r="E22" s="37">
        <v>0.87949999999999984</v>
      </c>
      <c r="F22" s="37">
        <v>0.18498120000000001</v>
      </c>
      <c r="G22" s="8">
        <v>0.25880999999999998</v>
      </c>
      <c r="J22" s="37">
        <v>1.2515199999999999E-2</v>
      </c>
      <c r="K22" s="37">
        <v>-9.4896999999999995E-2</v>
      </c>
      <c r="L22" s="39">
        <v>-318624000</v>
      </c>
      <c r="M22" s="39">
        <v>7454509000</v>
      </c>
      <c r="N22" s="40">
        <v>1.5658700000000001</v>
      </c>
      <c r="O22" s="37">
        <v>-4.2284759321565835E-3</v>
      </c>
      <c r="P22" s="37">
        <v>0.19018096532383955</v>
      </c>
      <c r="Q22" s="37">
        <v>0.27933990000000003</v>
      </c>
      <c r="R22" s="37">
        <v>0.14733299999999999</v>
      </c>
      <c r="S22" s="8">
        <v>-3.21</v>
      </c>
      <c r="W22" t="s">
        <v>15</v>
      </c>
      <c r="X22">
        <v>7</v>
      </c>
      <c r="Y22" s="11">
        <v>35402</v>
      </c>
    </row>
    <row r="23" spans="1:25" x14ac:dyDescent="0.3">
      <c r="A23" t="s">
        <v>18</v>
      </c>
      <c r="B23" s="8">
        <v>2.698</v>
      </c>
      <c r="C23" s="9">
        <v>80585236</v>
      </c>
      <c r="D23" s="37">
        <v>0.19409000000000001</v>
      </c>
      <c r="E23" s="37">
        <v>0.49536000000000002</v>
      </c>
      <c r="F23" s="37">
        <v>0.107516</v>
      </c>
      <c r="G23" s="8">
        <v>1.1102700000000001</v>
      </c>
      <c r="J23" s="37">
        <v>-0.18197559999999999</v>
      </c>
      <c r="K23" s="37">
        <v>-0.14551900000000001</v>
      </c>
      <c r="L23" s="39">
        <v>-57367000</v>
      </c>
      <c r="M23" s="39">
        <v>399032000</v>
      </c>
      <c r="O23" s="37">
        <v>-0.14168390502948536</v>
      </c>
      <c r="P23" s="37">
        <v>0.19035131370736935</v>
      </c>
      <c r="Q23" s="37">
        <v>0.41537790000000002</v>
      </c>
      <c r="S23" s="8">
        <v>-0.69</v>
      </c>
      <c r="W23" t="s">
        <v>15</v>
      </c>
      <c r="X23">
        <v>8</v>
      </c>
    </row>
    <row r="24" spans="1:25" x14ac:dyDescent="0.3">
      <c r="A24" t="s">
        <v>129</v>
      </c>
      <c r="B24" s="8">
        <v>99.978999999999999</v>
      </c>
      <c r="C24" s="9">
        <v>76490671</v>
      </c>
      <c r="D24" s="37">
        <v>0.22030000000000002</v>
      </c>
      <c r="E24" s="37">
        <v>0.78629000000000004</v>
      </c>
      <c r="F24" s="37">
        <v>0.10563969999999999</v>
      </c>
      <c r="G24" s="8">
        <v>26.466259999999998</v>
      </c>
      <c r="J24" s="37">
        <v>-0.43113819999999997</v>
      </c>
      <c r="K24" s="37">
        <v>-0.3724613</v>
      </c>
      <c r="L24" s="39">
        <v>215820000</v>
      </c>
      <c r="M24" s="39">
        <v>26702000</v>
      </c>
      <c r="N24" s="40">
        <v>1.2529999999999999E-2</v>
      </c>
      <c r="O24" s="37">
        <v>0.7125405405405405</v>
      </c>
      <c r="P24" s="37">
        <v>0.61711206934078255</v>
      </c>
      <c r="S24" s="8">
        <v>-3.33</v>
      </c>
      <c r="W24" t="s">
        <v>15</v>
      </c>
      <c r="X24">
        <v>23</v>
      </c>
      <c r="Y24" s="11">
        <v>45372</v>
      </c>
    </row>
    <row r="25" spans="1:25" x14ac:dyDescent="0.3">
      <c r="A25" t="s">
        <v>38</v>
      </c>
      <c r="B25" s="8">
        <v>24.827000000000002</v>
      </c>
      <c r="C25" s="9">
        <v>57379905</v>
      </c>
      <c r="D25" s="37">
        <v>1.9009999999999999E-2</v>
      </c>
      <c r="E25" s="37">
        <v>0.94294</v>
      </c>
      <c r="F25" s="37">
        <v>0.39466689999999999</v>
      </c>
      <c r="G25" s="8">
        <v>0.83933999999999997</v>
      </c>
      <c r="I25" s="8">
        <v>4.6085000000000003</v>
      </c>
      <c r="J25" s="37">
        <v>-1.5827394000000001</v>
      </c>
      <c r="K25" s="37">
        <v>-1.5818786</v>
      </c>
      <c r="L25" s="39">
        <v>-601970000</v>
      </c>
      <c r="M25" s="39">
        <v>746004000</v>
      </c>
      <c r="N25" s="40">
        <v>0.78003999999999996</v>
      </c>
      <c r="O25" s="37">
        <v>-0.6402851214316736</v>
      </c>
      <c r="P25" s="37">
        <v>-0.70523903845081615</v>
      </c>
      <c r="Q25" s="37">
        <v>-0.16063269999999999</v>
      </c>
      <c r="R25" s="37">
        <v>-3.8094800000000005E-2</v>
      </c>
      <c r="S25" s="8">
        <v>-28.93</v>
      </c>
      <c r="W25" t="s">
        <v>15</v>
      </c>
      <c r="X25">
        <v>26</v>
      </c>
      <c r="Y25" s="11">
        <v>42089</v>
      </c>
    </row>
    <row r="26" spans="1:25" x14ac:dyDescent="0.3">
      <c r="A26" t="s">
        <v>133</v>
      </c>
      <c r="B26" s="8">
        <v>49.877000000000002</v>
      </c>
      <c r="C26" s="9">
        <v>56830000</v>
      </c>
      <c r="D26" s="37">
        <v>0.12418</v>
      </c>
      <c r="E26" s="37">
        <v>2.12E-2</v>
      </c>
      <c r="F26" s="37">
        <v>0.1097799</v>
      </c>
      <c r="G26" s="8">
        <v>0.33096999999999999</v>
      </c>
      <c r="J26" s="37">
        <v>-0.82028840000000003</v>
      </c>
      <c r="K26" s="37">
        <v>-0.87525319999999995</v>
      </c>
      <c r="L26" s="39">
        <v>-5879376</v>
      </c>
      <c r="M26" s="39">
        <v>1150274</v>
      </c>
      <c r="O26" s="37">
        <v>0.16340157918073506</v>
      </c>
      <c r="P26" s="37">
        <v>0.46657063179069252</v>
      </c>
      <c r="S26" s="8">
        <v>-214.82</v>
      </c>
      <c r="W26" t="s">
        <v>16</v>
      </c>
    </row>
    <row r="27" spans="1:25" x14ac:dyDescent="0.3">
      <c r="A27" t="s">
        <v>107</v>
      </c>
      <c r="B27" s="8">
        <v>0.5323</v>
      </c>
      <c r="C27" s="9">
        <v>53488738</v>
      </c>
      <c r="D27" s="37">
        <v>8.4070000000000006E-2</v>
      </c>
      <c r="E27" s="37">
        <v>9.7900000000000001E-3</v>
      </c>
      <c r="F27" s="37">
        <v>1.2999999999999999E-3</v>
      </c>
      <c r="G27" s="8">
        <v>0.42886999999999997</v>
      </c>
      <c r="J27" s="37">
        <v>-0.64368459999999994</v>
      </c>
      <c r="K27" s="37">
        <v>-0.40103110000000003</v>
      </c>
      <c r="M27" s="39">
        <v>2518445</v>
      </c>
      <c r="N27" s="40">
        <v>6.3310000000000005E-2</v>
      </c>
      <c r="P27" s="37">
        <v>-0.1516894663385665</v>
      </c>
      <c r="S27" s="8">
        <v>-0.34</v>
      </c>
      <c r="W27" t="s">
        <v>16</v>
      </c>
      <c r="Y27" s="11">
        <v>43672</v>
      </c>
    </row>
    <row r="28" spans="1:25" x14ac:dyDescent="0.3">
      <c r="A28" t="s">
        <v>34</v>
      </c>
      <c r="B28" s="8">
        <v>2.39</v>
      </c>
      <c r="C28" s="9">
        <v>48242722</v>
      </c>
      <c r="D28" s="37">
        <v>0.31457000000000002</v>
      </c>
      <c r="E28" s="37">
        <v>0.36016999999999993</v>
      </c>
      <c r="F28" s="37">
        <v>7.5392999999999996E-3</v>
      </c>
      <c r="G28" s="8">
        <v>2.4823400000000002</v>
      </c>
      <c r="J28" s="37">
        <v>-5.2910399999999996E-2</v>
      </c>
      <c r="K28" s="37">
        <v>-0.1160288</v>
      </c>
      <c r="L28" s="39">
        <v>6772000</v>
      </c>
      <c r="M28" s="39">
        <v>6559000</v>
      </c>
      <c r="N28" s="40">
        <v>5.4690000000000003E-2</v>
      </c>
      <c r="O28" s="37">
        <v>-2.9730914670904829E-2</v>
      </c>
      <c r="P28" s="37">
        <v>-0.13531469411379826</v>
      </c>
      <c r="Q28" s="37">
        <v>2.3448500000000001E-2</v>
      </c>
      <c r="S28" s="8">
        <v>-0.17</v>
      </c>
      <c r="W28" t="s">
        <v>15</v>
      </c>
      <c r="X28">
        <v>4</v>
      </c>
      <c r="Y28" s="11">
        <v>44510</v>
      </c>
    </row>
    <row r="29" spans="1:25" x14ac:dyDescent="0.3">
      <c r="A29" t="s">
        <v>23</v>
      </c>
      <c r="B29" s="8">
        <v>1.7829999999999999</v>
      </c>
      <c r="C29" s="9">
        <v>30429315</v>
      </c>
      <c r="D29" s="37">
        <v>2.8500000000000001E-2</v>
      </c>
      <c r="E29" s="37">
        <v>0.46915000000000001</v>
      </c>
      <c r="F29" s="37">
        <v>2.4275E-3</v>
      </c>
      <c r="G29" s="8">
        <v>3.5830799999999998</v>
      </c>
      <c r="J29" s="37">
        <v>-0.26910010000000001</v>
      </c>
      <c r="K29" s="37">
        <v>-0.28564900000000004</v>
      </c>
      <c r="L29" s="39">
        <v>-3615059</v>
      </c>
      <c r="M29" s="39">
        <v>12477481</v>
      </c>
      <c r="N29" s="40">
        <v>0.46727000000000002</v>
      </c>
      <c r="O29" s="37">
        <v>1.4925836260055059E-2</v>
      </c>
      <c r="P29" s="37">
        <v>-1.0118953113119389E-2</v>
      </c>
      <c r="Q29" s="37">
        <v>-4.8917599999999999E-2</v>
      </c>
      <c r="R29" s="37">
        <v>-9.9231000000000007E-3</v>
      </c>
      <c r="S29" s="8">
        <v>-0.24</v>
      </c>
      <c r="W29" t="s">
        <v>16</v>
      </c>
      <c r="X29">
        <v>3</v>
      </c>
      <c r="Y29" s="11">
        <v>35117</v>
      </c>
    </row>
    <row r="30" spans="1:25" x14ac:dyDescent="0.3">
      <c r="A30" t="s">
        <v>28</v>
      </c>
      <c r="B30" s="8">
        <v>13.5</v>
      </c>
      <c r="C30" s="9">
        <v>28589751</v>
      </c>
      <c r="D30" s="37">
        <v>6.2820000000000001E-2</v>
      </c>
      <c r="E30" s="37">
        <v>0.79191</v>
      </c>
      <c r="F30" s="37">
        <v>3.5979499999999998E-2</v>
      </c>
      <c r="G30" s="8">
        <v>2.2606099999999998</v>
      </c>
      <c r="J30" s="37">
        <v>-2.9134999999999999E-3</v>
      </c>
      <c r="K30" s="37">
        <v>-2.3532000000000001E-2</v>
      </c>
      <c r="L30" s="39">
        <v>65800000</v>
      </c>
      <c r="P30" s="37">
        <v>-1.9125082435700103E-2</v>
      </c>
      <c r="Q30" s="37">
        <v>9.8295399999999991E-2</v>
      </c>
      <c r="S30" s="8">
        <v>-0.14000000000000001</v>
      </c>
      <c r="W30" t="s">
        <v>15</v>
      </c>
      <c r="X30">
        <v>5</v>
      </c>
      <c r="Y30" s="11">
        <v>44504</v>
      </c>
    </row>
    <row r="31" spans="1:25" x14ac:dyDescent="0.3">
      <c r="A31" t="s">
        <v>19</v>
      </c>
      <c r="B31" s="8">
        <v>11.372</v>
      </c>
      <c r="C31" s="9">
        <v>25974844</v>
      </c>
      <c r="D31" s="37">
        <v>0.47097</v>
      </c>
      <c r="E31" s="37">
        <v>0.25913000000000003</v>
      </c>
      <c r="F31" s="37">
        <v>8.0000000000000004E-4</v>
      </c>
      <c r="G31" s="8">
        <v>1.18543</v>
      </c>
      <c r="H31" s="8">
        <v>18.25714</v>
      </c>
      <c r="I31" s="8">
        <v>1.08</v>
      </c>
      <c r="J31" s="37">
        <v>0.107417</v>
      </c>
      <c r="K31" s="37">
        <v>6.4883499999999997E-2</v>
      </c>
      <c r="L31" s="39">
        <v>51044000</v>
      </c>
      <c r="M31" s="39">
        <v>92338000</v>
      </c>
      <c r="N31" s="40">
        <v>0.33046999999999999</v>
      </c>
      <c r="O31" s="37">
        <v>0.1041364183991844</v>
      </c>
      <c r="P31" s="37">
        <v>-3.8030873811871979E-2</v>
      </c>
      <c r="Q31" s="37">
        <v>5.8203199999999997E-2</v>
      </c>
      <c r="R31" s="37">
        <v>0.1176932</v>
      </c>
      <c r="S31" s="8">
        <v>0.7</v>
      </c>
      <c r="T31" s="37">
        <v>-0.10256410256410264</v>
      </c>
      <c r="U31" s="37">
        <v>7.0880600000000002E-2</v>
      </c>
      <c r="V31" s="37">
        <v>0.14869840000000001</v>
      </c>
      <c r="W31" t="s">
        <v>15</v>
      </c>
      <c r="X31">
        <v>1</v>
      </c>
      <c r="Y31" s="11">
        <v>33478</v>
      </c>
    </row>
    <row r="32" spans="1:25" x14ac:dyDescent="0.3">
      <c r="A32" t="s">
        <v>95</v>
      </c>
      <c r="B32" s="8">
        <v>25.021000000000001</v>
      </c>
      <c r="C32" s="9">
        <v>25352441</v>
      </c>
      <c r="D32" s="37">
        <v>0.13661000000000001</v>
      </c>
      <c r="E32" s="37">
        <v>0.40205999999999997</v>
      </c>
      <c r="F32" s="37">
        <v>0.1208138</v>
      </c>
      <c r="G32" s="8">
        <v>0.76590000000000003</v>
      </c>
      <c r="H32" s="8">
        <v>6.5759499999999997</v>
      </c>
      <c r="I32" s="8">
        <v>0.36990000000000001</v>
      </c>
      <c r="J32" s="37">
        <v>0.12622649999999999</v>
      </c>
      <c r="K32" s="37">
        <v>0.1174994</v>
      </c>
      <c r="L32" s="39">
        <v>124955000</v>
      </c>
      <c r="M32" s="39">
        <v>504250000</v>
      </c>
      <c r="N32" s="40">
        <v>1.2594099999999999</v>
      </c>
      <c r="O32" s="37">
        <v>0.70242525271234291</v>
      </c>
      <c r="P32" s="37">
        <v>0.89841080352592284</v>
      </c>
      <c r="S32" s="8">
        <v>3.16</v>
      </c>
      <c r="T32" s="37">
        <v>0.81609195402298851</v>
      </c>
      <c r="W32" t="s">
        <v>15</v>
      </c>
      <c r="X32">
        <v>3</v>
      </c>
      <c r="Y32" s="11">
        <v>44791</v>
      </c>
    </row>
    <row r="33" spans="1:25" x14ac:dyDescent="0.3">
      <c r="A33" t="s">
        <v>94</v>
      </c>
      <c r="B33" s="8">
        <v>1.75</v>
      </c>
      <c r="C33" s="9">
        <v>24819594</v>
      </c>
      <c r="D33" s="37">
        <v>5.6320000000000009E-2</v>
      </c>
      <c r="E33" s="37">
        <v>0.27159</v>
      </c>
      <c r="F33" s="37">
        <v>1.0668500000000001E-2</v>
      </c>
      <c r="G33" s="8">
        <v>5.0585699999999996</v>
      </c>
      <c r="J33" s="37">
        <v>-0.32317849999999998</v>
      </c>
      <c r="K33" s="37">
        <v>-0.142925</v>
      </c>
      <c r="L33" s="39">
        <v>-4917000</v>
      </c>
      <c r="M33" s="39">
        <v>415000</v>
      </c>
      <c r="N33" s="40">
        <v>1.413E-2</v>
      </c>
      <c r="O33" s="37">
        <v>3.5354775349864864E-2</v>
      </c>
      <c r="P33" s="37">
        <v>0.1003311450647766</v>
      </c>
      <c r="Q33" s="37">
        <v>-0.19481390000000001</v>
      </c>
      <c r="R33" s="37">
        <v>-8.1123000000000001E-2</v>
      </c>
      <c r="S33" s="8">
        <v>-0.11</v>
      </c>
      <c r="W33" t="s">
        <v>15</v>
      </c>
      <c r="Y33" s="11">
        <v>31749</v>
      </c>
    </row>
    <row r="34" spans="1:25" x14ac:dyDescent="0.3">
      <c r="A34" t="s">
        <v>106</v>
      </c>
      <c r="B34" s="8">
        <v>1.4570000000000001</v>
      </c>
      <c r="C34" s="9">
        <v>21660386</v>
      </c>
      <c r="D34" s="37">
        <v>0.35865999999999998</v>
      </c>
      <c r="E34" s="37">
        <v>0.34831000000000001</v>
      </c>
      <c r="F34" s="37">
        <v>3.0127299999999999E-2</v>
      </c>
      <c r="G34" s="8">
        <v>0.31941999999999998</v>
      </c>
      <c r="J34" s="37">
        <v>-0.13553589999999999</v>
      </c>
      <c r="K34" s="37">
        <v>-0.11637610000000001</v>
      </c>
      <c r="L34" s="39">
        <v>-10811000</v>
      </c>
      <c r="M34" s="39">
        <v>46959000</v>
      </c>
      <c r="N34" s="40">
        <v>30.894079999999999</v>
      </c>
      <c r="O34" s="37">
        <v>-0.2181376518218624</v>
      </c>
      <c r="P34" s="37">
        <v>-0.21822809436218493</v>
      </c>
      <c r="Q34" s="37">
        <v>-0.1032184</v>
      </c>
      <c r="S34" s="8">
        <v>-0.69</v>
      </c>
      <c r="W34" t="s">
        <v>15</v>
      </c>
      <c r="X34">
        <v>1</v>
      </c>
    </row>
    <row r="35" spans="1:25" hidden="1" x14ac:dyDescent="0.3">
      <c r="A35" t="s">
        <v>91</v>
      </c>
      <c r="C35" s="9">
        <v>23831033</v>
      </c>
      <c r="D35" s="37">
        <v>1.4630000000000001E-2</v>
      </c>
      <c r="E35" s="37">
        <v>0.39981</v>
      </c>
      <c r="F35" s="37">
        <v>5.9740999999999995E-3</v>
      </c>
      <c r="G35" s="8">
        <v>8.0108300000000003</v>
      </c>
      <c r="K35" s="37">
        <v>-0.39606250000000004</v>
      </c>
      <c r="M35" s="39">
        <v>19856000</v>
      </c>
      <c r="N35" s="40">
        <v>6.0159999999999998E-2</v>
      </c>
      <c r="O35" s="37">
        <v>0.20687077118612396</v>
      </c>
      <c r="S35" s="8">
        <v>-0.69</v>
      </c>
      <c r="W35" t="s">
        <v>15</v>
      </c>
      <c r="X35">
        <v>19</v>
      </c>
      <c r="Y35" s="11">
        <v>45497</v>
      </c>
    </row>
    <row r="36" spans="1:25" x14ac:dyDescent="0.3">
      <c r="A36" t="s">
        <v>87</v>
      </c>
      <c r="B36" s="8">
        <v>1.581</v>
      </c>
      <c r="C36" s="9">
        <v>19343612</v>
      </c>
      <c r="D36" s="37">
        <v>0.29654999999999998</v>
      </c>
      <c r="E36" s="37">
        <v>9.7839999999999983E-2</v>
      </c>
      <c r="F36" s="37">
        <v>2.1718399999999999E-2</v>
      </c>
      <c r="G36" s="8">
        <v>2.2479800000000001</v>
      </c>
      <c r="J36" s="37">
        <v>-0.37753560000000003</v>
      </c>
      <c r="K36" s="37">
        <v>-0.38007599999999997</v>
      </c>
      <c r="L36" s="39">
        <v>-2885976</v>
      </c>
      <c r="M36" s="39">
        <v>511315</v>
      </c>
      <c r="N36" s="40">
        <v>1.8870000000000001E-2</v>
      </c>
      <c r="O36" s="37">
        <v>0.71283033259082462</v>
      </c>
      <c r="P36" s="37">
        <v>1.0056482721282127</v>
      </c>
      <c r="Q36" s="37">
        <v>0.36551240000000002</v>
      </c>
      <c r="S36" s="8">
        <v>-0.54</v>
      </c>
      <c r="W36" t="s">
        <v>16</v>
      </c>
      <c r="X36">
        <v>1</v>
      </c>
    </row>
    <row r="37" spans="1:25" x14ac:dyDescent="0.3">
      <c r="A37" t="s">
        <v>25</v>
      </c>
      <c r="B37" s="8">
        <v>4.5890000000000004</v>
      </c>
      <c r="C37" s="9">
        <v>16402629</v>
      </c>
      <c r="D37" s="37">
        <v>0.47681000000000007</v>
      </c>
      <c r="E37" s="37">
        <v>3.569E-2</v>
      </c>
      <c r="F37" s="37">
        <v>1.5061E-3</v>
      </c>
      <c r="G37" s="8">
        <v>1.9223699999999999</v>
      </c>
      <c r="H37" s="8">
        <v>21.739129999999999</v>
      </c>
      <c r="J37" s="37">
        <v>0.12166589999999999</v>
      </c>
      <c r="K37" s="37">
        <v>9.2781599999999992E-2</v>
      </c>
      <c r="L37" s="39">
        <v>-239800767</v>
      </c>
      <c r="O37" s="37">
        <v>0.47380699893955458</v>
      </c>
      <c r="P37" s="37">
        <v>0.69049051915329063</v>
      </c>
      <c r="S37" s="8">
        <v>0.23</v>
      </c>
      <c r="T37" s="37">
        <v>7.3333333333333339</v>
      </c>
      <c r="W37" t="s">
        <v>16</v>
      </c>
      <c r="X37">
        <v>1</v>
      </c>
    </row>
    <row r="38" spans="1:25" x14ac:dyDescent="0.3">
      <c r="A38" t="s">
        <v>90</v>
      </c>
      <c r="B38" s="8">
        <v>1.9419999999999999</v>
      </c>
      <c r="C38" s="9">
        <v>16054451</v>
      </c>
      <c r="D38" s="37">
        <v>0.21440999999999999</v>
      </c>
      <c r="E38" s="37">
        <v>9.3560000000000004E-2</v>
      </c>
      <c r="F38" s="37">
        <v>1E-4</v>
      </c>
      <c r="G38" s="8">
        <v>1.84707</v>
      </c>
      <c r="H38" s="8">
        <v>8.6956500000000005</v>
      </c>
      <c r="J38" s="37">
        <v>0.19267019999999999</v>
      </c>
      <c r="K38" s="37">
        <v>0.2208089</v>
      </c>
      <c r="L38" s="39">
        <v>4499000</v>
      </c>
      <c r="M38" s="39">
        <v>459000</v>
      </c>
      <c r="N38" s="40">
        <v>1.975E-2</v>
      </c>
      <c r="O38" s="37">
        <v>-1.0638297872340385E-2</v>
      </c>
      <c r="P38" s="37">
        <v>2.2694305367086276E-2</v>
      </c>
      <c r="Q38" s="37">
        <v>-5.8446699999999997E-2</v>
      </c>
      <c r="R38" s="37">
        <v>1.3555900000000001E-2</v>
      </c>
      <c r="S38" s="8">
        <v>0.23</v>
      </c>
      <c r="T38" s="37">
        <v>-7.999999999999996E-2</v>
      </c>
      <c r="U38" s="37">
        <v>-6.3466599999999998E-2</v>
      </c>
      <c r="V38" s="37">
        <v>-3.1559799999999999E-2</v>
      </c>
      <c r="W38" t="s">
        <v>15</v>
      </c>
      <c r="Y38" s="11">
        <v>36746</v>
      </c>
    </row>
    <row r="39" spans="1:25" x14ac:dyDescent="0.3">
      <c r="A39" t="s">
        <v>26</v>
      </c>
      <c r="B39" s="8">
        <v>6.3470000000000004</v>
      </c>
      <c r="C39" s="9">
        <v>13070694</v>
      </c>
      <c r="D39" s="37">
        <v>0.24942</v>
      </c>
      <c r="E39" s="37">
        <v>0.15784999999999999</v>
      </c>
      <c r="F39" s="37">
        <v>2.9151099999999999E-2</v>
      </c>
      <c r="G39" s="8">
        <v>2.4723700000000002</v>
      </c>
      <c r="H39" s="8">
        <v>79.411760000000001</v>
      </c>
      <c r="J39" s="37">
        <v>5.2821E-2</v>
      </c>
      <c r="K39" s="37">
        <v>3.5902299999999998E-2</v>
      </c>
      <c r="L39" s="39">
        <v>18314000</v>
      </c>
      <c r="M39" s="39">
        <v>3870000</v>
      </c>
      <c r="N39" s="40">
        <v>0.50561999999999996</v>
      </c>
      <c r="O39" s="37">
        <v>6.8905405405405409</v>
      </c>
      <c r="P39" s="37">
        <v>1.9929893986027651</v>
      </c>
      <c r="Q39" s="37">
        <v>0.82756640000000004</v>
      </c>
      <c r="R39" s="37">
        <v>0.46554900000000005</v>
      </c>
      <c r="S39" s="8">
        <v>0.17</v>
      </c>
      <c r="V39" s="37">
        <v>0.23157119999999998</v>
      </c>
      <c r="W39" t="s">
        <v>15</v>
      </c>
    </row>
    <row r="40" spans="1:25" x14ac:dyDescent="0.3">
      <c r="A40" t="s">
        <v>77</v>
      </c>
      <c r="B40" s="8">
        <v>1.1559999999999999</v>
      </c>
      <c r="C40" s="9">
        <v>12820000</v>
      </c>
      <c r="D40" s="37">
        <v>0.41360000000000002</v>
      </c>
      <c r="J40" s="37">
        <v>-0.23</v>
      </c>
      <c r="K40" s="37">
        <v>-0.24149999999999999</v>
      </c>
      <c r="L40" s="39">
        <v>-774120</v>
      </c>
      <c r="M40" s="39">
        <v>3810000</v>
      </c>
      <c r="N40" s="40">
        <v>0.34</v>
      </c>
      <c r="O40" s="37">
        <v>-0.2084</v>
      </c>
      <c r="P40" s="37">
        <v>-5.6000000000000001E-2</v>
      </c>
      <c r="Q40" s="37">
        <v>-6.3E-3</v>
      </c>
      <c r="R40" s="37">
        <v>-0.08</v>
      </c>
      <c r="S40" s="8">
        <v>-0.22</v>
      </c>
    </row>
    <row r="41" spans="1:25" x14ac:dyDescent="0.3">
      <c r="A41" t="s">
        <v>103</v>
      </c>
      <c r="B41" s="8">
        <v>3.7250000000000001</v>
      </c>
      <c r="C41" s="9">
        <v>11045085</v>
      </c>
      <c r="D41" s="37">
        <v>0.47094000000000003</v>
      </c>
      <c r="E41" s="37">
        <v>0.13519</v>
      </c>
      <c r="F41" s="37">
        <v>6.9715100000000002E-2</v>
      </c>
      <c r="G41" s="8">
        <v>8.5114099999999997</v>
      </c>
      <c r="H41" s="8">
        <v>6.22</v>
      </c>
      <c r="J41" s="37">
        <v>-0.10969419999999999</v>
      </c>
      <c r="K41" s="37">
        <v>0.64717169999999991</v>
      </c>
      <c r="L41" s="39">
        <v>-5165579</v>
      </c>
      <c r="M41" s="39">
        <v>4529413</v>
      </c>
      <c r="O41" s="37">
        <v>0.20269330586539921</v>
      </c>
      <c r="P41" s="37">
        <v>1.4845688042155931</v>
      </c>
      <c r="S41" s="8">
        <v>1</v>
      </c>
      <c r="U41" s="37">
        <v>3.6415888000000001</v>
      </c>
      <c r="W41" t="s">
        <v>15</v>
      </c>
      <c r="X41">
        <v>2</v>
      </c>
    </row>
    <row r="42" spans="1:25" x14ac:dyDescent="0.3">
      <c r="A42" t="s">
        <v>88</v>
      </c>
      <c r="B42" s="8">
        <v>3.22</v>
      </c>
      <c r="C42" s="9">
        <v>8925654</v>
      </c>
      <c r="D42" s="37">
        <v>0.24315000000000001</v>
      </c>
      <c r="E42" s="37">
        <v>0.22311</v>
      </c>
      <c r="F42" s="37">
        <v>2.7805E-3</v>
      </c>
      <c r="G42" s="8">
        <v>0.70643999999999996</v>
      </c>
      <c r="H42" s="8">
        <v>3.2846700000000002</v>
      </c>
      <c r="I42" s="8">
        <v>0.52259999999999995</v>
      </c>
      <c r="J42" s="37">
        <v>7.4890299999999993E-2</v>
      </c>
      <c r="K42" s="37">
        <v>0.2063335</v>
      </c>
      <c r="L42" s="39">
        <v>1873358</v>
      </c>
      <c r="M42" s="39">
        <v>21767335</v>
      </c>
      <c r="N42" s="40">
        <v>0.87280999999999997</v>
      </c>
      <c r="O42" s="37">
        <v>-4.80157008778066E-2</v>
      </c>
      <c r="P42" s="37">
        <v>-4.8572619130501933E-2</v>
      </c>
      <c r="Q42" s="37">
        <v>-6.8400600000000006E-2</v>
      </c>
      <c r="R42" s="37">
        <v>-1.01265E-2</v>
      </c>
      <c r="S42" s="8">
        <v>1.37</v>
      </c>
      <c r="T42" s="37">
        <v>0.85135135135135154</v>
      </c>
      <c r="U42" s="37">
        <v>0.30957460000000003</v>
      </c>
      <c r="W42" t="s">
        <v>15</v>
      </c>
    </row>
    <row r="43" spans="1:25" x14ac:dyDescent="0.3">
      <c r="A43" t="s">
        <v>11</v>
      </c>
      <c r="B43" s="8">
        <v>6.5380000000000003</v>
      </c>
      <c r="C43" s="9">
        <v>8244432</v>
      </c>
      <c r="D43" s="37">
        <v>0.10111000000000001</v>
      </c>
      <c r="E43" s="37">
        <v>0.16685</v>
      </c>
      <c r="F43" s="37">
        <v>6.7078300000000007E-2</v>
      </c>
      <c r="G43" s="8">
        <v>6.0558399999999999</v>
      </c>
      <c r="H43" s="8">
        <v>8.9584799999999998</v>
      </c>
      <c r="J43" s="37">
        <v>0.32727379999999995</v>
      </c>
      <c r="K43" s="37">
        <v>0.28346670000000002</v>
      </c>
      <c r="L43" s="39">
        <v>-8862785</v>
      </c>
      <c r="M43" s="39">
        <v>21307429</v>
      </c>
      <c r="N43" s="40">
        <v>0.29570999999999997</v>
      </c>
      <c r="P43" s="37">
        <v>2.5227374432410685</v>
      </c>
      <c r="S43" s="8">
        <v>2.89</v>
      </c>
      <c r="W43" t="s">
        <v>15</v>
      </c>
      <c r="X43">
        <v>1</v>
      </c>
    </row>
    <row r="44" spans="1:25" x14ac:dyDescent="0.3">
      <c r="A44" t="s">
        <v>24</v>
      </c>
      <c r="B44" s="8">
        <v>1.365</v>
      </c>
      <c r="C44" s="9">
        <v>7859555</v>
      </c>
      <c r="D44" s="37">
        <v>0.20150000000000001</v>
      </c>
      <c r="E44" s="37">
        <v>0.10341000000000002</v>
      </c>
      <c r="F44" s="37">
        <v>1.35687E-2</v>
      </c>
      <c r="G44" s="8">
        <v>0.58206000000000002</v>
      </c>
      <c r="J44" s="37">
        <v>-0.15772600000000001</v>
      </c>
      <c r="K44" s="37">
        <v>-0.13147790000000001</v>
      </c>
      <c r="L44" s="39">
        <v>677000</v>
      </c>
      <c r="M44" s="39">
        <v>2450000</v>
      </c>
      <c r="N44" s="40">
        <v>0.23832999999999999</v>
      </c>
      <c r="O44" s="37">
        <v>-3.0157030692362641E-2</v>
      </c>
      <c r="P44" s="37">
        <v>-3.9691289966923948E-2</v>
      </c>
      <c r="Q44" s="37">
        <v>2.3252155999999999</v>
      </c>
      <c r="R44" s="37">
        <v>1.6792131000000001</v>
      </c>
      <c r="S44" s="8">
        <v>-0.31</v>
      </c>
      <c r="W44" t="s">
        <v>16</v>
      </c>
      <c r="X44">
        <v>1</v>
      </c>
    </row>
    <row r="45" spans="1:25" x14ac:dyDescent="0.3">
      <c r="A45" t="s">
        <v>99</v>
      </c>
      <c r="B45" s="8">
        <v>9.4659999999999993</v>
      </c>
      <c r="C45" s="9">
        <v>7081376</v>
      </c>
      <c r="D45" s="37">
        <v>0.13042999999999999</v>
      </c>
      <c r="E45" s="37">
        <v>0.71711000000000003</v>
      </c>
      <c r="F45" s="37">
        <v>1.14345E-2</v>
      </c>
      <c r="G45" s="8">
        <v>0.22419</v>
      </c>
      <c r="H45" s="8">
        <v>13.772729999999999</v>
      </c>
      <c r="I45" s="8">
        <v>1.1263000000000001</v>
      </c>
      <c r="J45" s="37">
        <v>6.0994799999999995E-2</v>
      </c>
      <c r="K45" s="37">
        <v>1.6357699999999999E-2</v>
      </c>
      <c r="L45" s="39">
        <v>9543000</v>
      </c>
      <c r="M45" s="39">
        <v>178325000</v>
      </c>
      <c r="N45" s="40">
        <v>1.60019</v>
      </c>
      <c r="O45" s="37">
        <v>-7.2233009708737916E-2</v>
      </c>
      <c r="P45" s="37">
        <v>-3.0239778550854801E-2</v>
      </c>
      <c r="Q45" s="37">
        <v>4.4715600000000001E-2</v>
      </c>
      <c r="R45" s="37">
        <v>0.16801860000000002</v>
      </c>
      <c r="S45" s="8">
        <v>0.44</v>
      </c>
      <c r="T45" s="37">
        <v>1.9333333333333338</v>
      </c>
      <c r="U45" s="37">
        <v>-0.2761228</v>
      </c>
      <c r="V45" s="37">
        <v>1.9244899999999999E-2</v>
      </c>
      <c r="W45" t="s">
        <v>15</v>
      </c>
    </row>
    <row r="46" spans="1:25" x14ac:dyDescent="0.3">
      <c r="A46" t="s">
        <v>100</v>
      </c>
      <c r="B46" s="8">
        <v>17.024999999999999</v>
      </c>
      <c r="C46" s="9">
        <v>6154640</v>
      </c>
      <c r="D46" s="37">
        <v>0.24420999999999998</v>
      </c>
      <c r="E46" s="37">
        <v>0.23635</v>
      </c>
      <c r="F46" s="37">
        <v>5.8663699999999999E-2</v>
      </c>
      <c r="G46" s="8">
        <v>5.0389999999999997E-2</v>
      </c>
      <c r="J46" s="37">
        <v>-8.3742199999999989E-2</v>
      </c>
      <c r="K46" s="37">
        <v>-2.84055E-2</v>
      </c>
      <c r="L46" s="39">
        <v>-63718000</v>
      </c>
      <c r="O46" s="37">
        <v>0.60381200738374985</v>
      </c>
      <c r="P46" s="37">
        <v>2.2799907141506028</v>
      </c>
      <c r="Q46" s="37">
        <v>2.2756711999999997</v>
      </c>
      <c r="S46" s="8">
        <v>-12.23</v>
      </c>
      <c r="W46" t="s">
        <v>15</v>
      </c>
      <c r="X46">
        <v>2</v>
      </c>
    </row>
    <row r="47" spans="1:25" x14ac:dyDescent="0.3">
      <c r="A47" t="s">
        <v>124</v>
      </c>
      <c r="B47" s="8">
        <v>4.8819999999999997</v>
      </c>
      <c r="C47" s="9">
        <v>6011613</v>
      </c>
      <c r="D47" s="37">
        <v>0.44823000000000002</v>
      </c>
      <c r="E47" s="37">
        <v>1.0280000000000001E-2</v>
      </c>
      <c r="F47" s="37">
        <v>6.8218399999999998E-2</v>
      </c>
      <c r="G47" s="8">
        <v>21.961860000000001</v>
      </c>
      <c r="J47" s="37">
        <v>-1.0790264000000001</v>
      </c>
      <c r="K47" s="37">
        <v>-1.0774484</v>
      </c>
      <c r="L47" s="39">
        <v>-5106132</v>
      </c>
      <c r="O47" s="37">
        <v>0.43478260869565211</v>
      </c>
      <c r="P47" s="37">
        <v>1.255877710126474E-2</v>
      </c>
      <c r="Q47" s="37">
        <v>-0.28509370000000001</v>
      </c>
      <c r="R47" s="37">
        <v>-9.7286499999999998E-2</v>
      </c>
      <c r="S47" s="8">
        <v>-3.26</v>
      </c>
      <c r="W47" t="s">
        <v>16</v>
      </c>
    </row>
    <row r="48" spans="1:25" x14ac:dyDescent="0.3">
      <c r="A48" t="s">
        <v>20</v>
      </c>
      <c r="B48" s="8">
        <v>0.96309999999999996</v>
      </c>
      <c r="C48" s="9">
        <v>4120463</v>
      </c>
      <c r="D48" s="37">
        <v>0.77457999999999994</v>
      </c>
      <c r="E48" s="37">
        <v>2.9199999999999999E-3</v>
      </c>
      <c r="F48" s="37">
        <v>1.13194E-2</v>
      </c>
      <c r="G48" s="8">
        <v>4.0302199999999999</v>
      </c>
      <c r="H48" s="8">
        <v>38.833060000000003</v>
      </c>
      <c r="J48" s="37">
        <v>5.7076399999999999E-2</v>
      </c>
      <c r="K48" s="37">
        <v>9.7179699999999994E-2</v>
      </c>
      <c r="M48" s="39">
        <v>443843.79231763474</v>
      </c>
      <c r="N48" s="40">
        <v>5.2159999999999998E-2</v>
      </c>
      <c r="P48" s="37">
        <v>0.56334204131606902</v>
      </c>
      <c r="S48" s="8">
        <v>2.3047375160051217E-2</v>
      </c>
      <c r="T48" s="37">
        <v>-0.5714285714285714</v>
      </c>
      <c r="W48" t="s">
        <v>16</v>
      </c>
      <c r="Y48" s="11">
        <v>45371</v>
      </c>
    </row>
    <row r="49" spans="1:25" x14ac:dyDescent="0.3">
      <c r="A49" t="s">
        <v>96</v>
      </c>
      <c r="B49" s="8">
        <v>23.32</v>
      </c>
      <c r="C49" s="9">
        <v>3961348</v>
      </c>
      <c r="D49" s="37">
        <v>0.20674999999999996</v>
      </c>
      <c r="G49" s="8">
        <v>14.95697</v>
      </c>
      <c r="H49" s="8">
        <v>28.73563</v>
      </c>
      <c r="J49" s="37">
        <v>0.65818319999999997</v>
      </c>
      <c r="K49" s="37">
        <v>0.62729599999999996</v>
      </c>
      <c r="L49" s="39">
        <v>-9303000</v>
      </c>
      <c r="O49" s="37">
        <v>0.6792153589315526</v>
      </c>
      <c r="S49" s="8">
        <v>1.74</v>
      </c>
      <c r="W49" t="s">
        <v>16</v>
      </c>
      <c r="X49">
        <v>2</v>
      </c>
    </row>
    <row r="50" spans="1:25" x14ac:dyDescent="0.3">
      <c r="A50" t="s">
        <v>89</v>
      </c>
      <c r="B50" s="8">
        <v>3.427</v>
      </c>
      <c r="C50" s="9">
        <v>3201737</v>
      </c>
      <c r="E50" s="37">
        <v>1.0880000000000001E-2</v>
      </c>
      <c r="F50" s="37">
        <v>3.8300000000000001E-2</v>
      </c>
      <c r="G50" s="8">
        <v>3.25631</v>
      </c>
      <c r="H50" s="8">
        <v>7.95946</v>
      </c>
      <c r="J50" s="37">
        <v>-1.0269716</v>
      </c>
      <c r="K50" s="37">
        <v>-0.85117940000000003</v>
      </c>
      <c r="M50" s="39">
        <v>17153000</v>
      </c>
      <c r="N50" s="40">
        <v>0.46505000000000002</v>
      </c>
      <c r="P50" s="37">
        <v>-0.25269755350592926</v>
      </c>
      <c r="S50" s="8">
        <v>0.74</v>
      </c>
      <c r="W50" t="s">
        <v>16</v>
      </c>
      <c r="X50">
        <v>1</v>
      </c>
    </row>
    <row r="51" spans="1:25" x14ac:dyDescent="0.3">
      <c r="A51" t="s">
        <v>22</v>
      </c>
      <c r="B51" s="8">
        <v>0.82440000000000002</v>
      </c>
      <c r="C51" s="9">
        <v>3180206</v>
      </c>
      <c r="D51" s="37">
        <v>0.78254999999999997</v>
      </c>
      <c r="E51" s="37">
        <v>2.0500000000000002E-3</v>
      </c>
      <c r="F51" s="37">
        <v>1.5545100000000001E-2</v>
      </c>
      <c r="G51" s="8">
        <v>0.63663000000000003</v>
      </c>
      <c r="H51" s="8">
        <v>8</v>
      </c>
      <c r="J51" s="37">
        <v>8.1018000000000007E-2</v>
      </c>
      <c r="K51" s="37">
        <v>8.0954899999999996E-2</v>
      </c>
      <c r="L51" s="39">
        <v>-266496</v>
      </c>
      <c r="M51" s="39">
        <v>41019</v>
      </c>
      <c r="N51" s="40">
        <v>7.9299999999999995E-3</v>
      </c>
      <c r="P51" s="37">
        <v>-0.11009850790852382</v>
      </c>
      <c r="S51" s="8">
        <v>0.09</v>
      </c>
      <c r="T51" s="37">
        <v>0.125</v>
      </c>
      <c r="W51" t="s">
        <v>16</v>
      </c>
      <c r="Y51" s="11">
        <v>45238</v>
      </c>
    </row>
    <row r="52" spans="1:25" x14ac:dyDescent="0.3">
      <c r="A52" t="s">
        <v>98</v>
      </c>
      <c r="B52" s="8">
        <v>3.0670000000000002</v>
      </c>
      <c r="C52" s="9">
        <v>2576100</v>
      </c>
      <c r="D52" s="37">
        <v>0.36386000000000002</v>
      </c>
      <c r="E52" s="37">
        <v>4.4000000000000007E-4</v>
      </c>
      <c r="F52" s="37">
        <v>3.3090899999999999E-2</v>
      </c>
      <c r="G52" s="8">
        <v>0.36570999999999998</v>
      </c>
      <c r="J52" s="37">
        <v>-0.2696036</v>
      </c>
      <c r="K52" s="37">
        <v>-0.26690200000000003</v>
      </c>
      <c r="L52" s="39">
        <v>-2363612</v>
      </c>
      <c r="M52" s="39">
        <v>1315988</v>
      </c>
      <c r="N52" s="40">
        <v>0.40666000000000002</v>
      </c>
      <c r="O52" s="37">
        <v>0.80256949197288208</v>
      </c>
      <c r="P52" s="37">
        <v>1.1751398202713967</v>
      </c>
      <c r="Q52" s="37">
        <v>0.85945710000000008</v>
      </c>
      <c r="S52" s="8">
        <v>-4.09</v>
      </c>
      <c r="W52" t="s">
        <v>16</v>
      </c>
    </row>
    <row r="53" spans="1:25" x14ac:dyDescent="0.3">
      <c r="A53" t="s">
        <v>27</v>
      </c>
      <c r="B53" s="8">
        <v>8.4909999999999997</v>
      </c>
      <c r="C53" s="9">
        <v>2520435</v>
      </c>
      <c r="D53" s="37">
        <v>0.23253000000000001</v>
      </c>
      <c r="E53" s="37">
        <v>2.2960000000000001E-2</v>
      </c>
      <c r="F53" s="37">
        <v>3.1268900000000002E-2</v>
      </c>
      <c r="G53" s="8">
        <v>6.9290000000000004E-2</v>
      </c>
      <c r="H53" s="8">
        <v>1.85714</v>
      </c>
      <c r="J53" s="37">
        <v>0.06</v>
      </c>
      <c r="K53" s="37">
        <v>3.6619899999999997E-2</v>
      </c>
      <c r="L53" s="39">
        <v>-91322495</v>
      </c>
      <c r="M53" s="39">
        <v>5115538</v>
      </c>
      <c r="N53" s="40">
        <v>2.5010000000000001E-2</v>
      </c>
      <c r="P53" s="37">
        <v>0.86063142599694553</v>
      </c>
      <c r="Q53" s="37">
        <v>1.6592993</v>
      </c>
      <c r="S53" s="8">
        <v>4.2</v>
      </c>
      <c r="T53" s="37">
        <v>0.13821138211382111</v>
      </c>
      <c r="U53" s="37">
        <v>8.0648999999999998E-3</v>
      </c>
      <c r="W53" t="s">
        <v>16</v>
      </c>
      <c r="Y53" s="11">
        <v>42731</v>
      </c>
    </row>
    <row r="54" spans="1:25" x14ac:dyDescent="0.3">
      <c r="A54" t="s">
        <v>86</v>
      </c>
      <c r="B54" s="8">
        <v>4.7160000000000002</v>
      </c>
      <c r="C54" s="9">
        <v>1816451</v>
      </c>
      <c r="D54" s="37">
        <v>9.0200000000000002E-2</v>
      </c>
      <c r="E54" s="37">
        <v>1.3299999999999999E-2</v>
      </c>
      <c r="F54" s="37">
        <v>5.3E-3</v>
      </c>
      <c r="G54" s="8">
        <v>1.2429699999999999</v>
      </c>
      <c r="H54" s="8">
        <v>0.17100000000000001</v>
      </c>
      <c r="J54" s="37">
        <v>-1.3821099999999999E-2</v>
      </c>
      <c r="K54" s="37">
        <v>5.70354E-2</v>
      </c>
      <c r="L54" s="39">
        <v>-2733000</v>
      </c>
      <c r="M54" s="39">
        <v>30871000</v>
      </c>
      <c r="N54" s="40">
        <v>2.2358899999999999</v>
      </c>
      <c r="O54" s="37">
        <v>0.47305739945333847</v>
      </c>
      <c r="P54" s="37">
        <v>0.52093603036999259</v>
      </c>
      <c r="Q54" s="37">
        <v>0.31030560000000001</v>
      </c>
      <c r="R54" s="37">
        <v>-1.8719900000000001E-2</v>
      </c>
      <c r="S54" s="8">
        <v>-0.21</v>
      </c>
      <c r="W54" t="s">
        <v>16</v>
      </c>
      <c r="X54">
        <v>1</v>
      </c>
    </row>
    <row r="55" spans="1:25" x14ac:dyDescent="0.3">
      <c r="A55" t="s">
        <v>17</v>
      </c>
      <c r="C55" s="9">
        <v>1760000</v>
      </c>
      <c r="D55" s="37">
        <v>0.39818999999999993</v>
      </c>
      <c r="E55" s="37">
        <v>2.9999999999999997E-4</v>
      </c>
      <c r="F55" s="37">
        <v>3.23062E-2</v>
      </c>
      <c r="G55" s="8">
        <v>0.29056999999999999</v>
      </c>
      <c r="H55" s="8">
        <v>0.64363999999999999</v>
      </c>
      <c r="J55" s="37">
        <v>0.16497150000000002</v>
      </c>
      <c r="K55" s="37">
        <v>0.29344950000000003</v>
      </c>
      <c r="L55" s="39">
        <v>18103146</v>
      </c>
      <c r="M55" s="39">
        <v>5976279</v>
      </c>
      <c r="N55" s="40">
        <v>0.13092000000000001</v>
      </c>
      <c r="P55" s="37">
        <v>0.53815879122842758</v>
      </c>
      <c r="S55" s="8">
        <v>6.37</v>
      </c>
      <c r="T55" s="37">
        <v>0.62086513994910941</v>
      </c>
      <c r="W55" t="s">
        <v>16</v>
      </c>
      <c r="Y55" s="11">
        <v>45209</v>
      </c>
    </row>
    <row r="56" spans="1:25" hidden="1" x14ac:dyDescent="0.3">
      <c r="A56" t="s">
        <v>97</v>
      </c>
      <c r="B56" s="8">
        <v>2.6840000000000002</v>
      </c>
      <c r="C56" s="9">
        <v>214423584</v>
      </c>
      <c r="D56" s="37">
        <v>2.4969999999999999E-2</v>
      </c>
      <c r="E56" s="37">
        <v>0.34709000000000001</v>
      </c>
      <c r="F56" s="37">
        <v>0.29272770000000004</v>
      </c>
      <c r="G56" s="8">
        <v>72.962580000000003</v>
      </c>
      <c r="J56" s="37">
        <v>-11.076388400000001</v>
      </c>
      <c r="K56" s="37">
        <v>-35.012497500000002</v>
      </c>
      <c r="L56" s="39">
        <v>-176883000</v>
      </c>
      <c r="M56" s="39">
        <v>191158000</v>
      </c>
      <c r="O56" s="37">
        <v>0.24853801169590639</v>
      </c>
      <c r="P56" s="37">
        <v>0.20339391989705646</v>
      </c>
      <c r="Q56" s="37">
        <v>1.0736824</v>
      </c>
      <c r="S56" s="8">
        <v>-2.41</v>
      </c>
      <c r="W56" t="s">
        <v>15</v>
      </c>
      <c r="X56">
        <v>6</v>
      </c>
    </row>
    <row r="57" spans="1:25" hidden="1" x14ac:dyDescent="0.3">
      <c r="A57" t="s">
        <v>102</v>
      </c>
      <c r="B57" s="8">
        <v>7.5880000000000001</v>
      </c>
      <c r="C57" s="9">
        <v>9013463</v>
      </c>
      <c r="D57" s="37">
        <v>0.18770000000000001</v>
      </c>
      <c r="E57" s="37">
        <v>0.10842</v>
      </c>
      <c r="F57" s="37">
        <v>2.63158E-2</v>
      </c>
      <c r="G57" s="8">
        <v>97.168970000000002</v>
      </c>
      <c r="J57" s="37">
        <v>-17.487546099999999</v>
      </c>
      <c r="K57" s="37">
        <v>-17.009349700000001</v>
      </c>
      <c r="L57" s="39">
        <v>-10628050</v>
      </c>
      <c r="M57" s="39">
        <v>236769</v>
      </c>
      <c r="N57" s="40">
        <v>1.5180000000000001E-2</v>
      </c>
      <c r="O57" s="37">
        <v>4.7369379335776349</v>
      </c>
      <c r="P57" s="37">
        <v>0.97398508526792926</v>
      </c>
      <c r="Q57" s="37">
        <v>-0.18765090000000001</v>
      </c>
      <c r="R57" s="37">
        <v>-0.22423749999999998</v>
      </c>
      <c r="S57" s="8">
        <v>-1.1100000000000001</v>
      </c>
      <c r="W57" t="s">
        <v>16</v>
      </c>
    </row>
    <row r="58" spans="1:25" hidden="1" x14ac:dyDescent="0.3">
      <c r="A58" t="s">
        <v>104</v>
      </c>
      <c r="B58" s="8">
        <v>3.5609999999999999</v>
      </c>
      <c r="C58" s="9">
        <v>18901009</v>
      </c>
      <c r="D58" s="37">
        <v>0.37863999999999998</v>
      </c>
      <c r="E58" s="37">
        <v>0.45362999999999998</v>
      </c>
      <c r="F58" s="37">
        <v>3.2083100000000003E-2</v>
      </c>
      <c r="G58" s="8">
        <v>28.899550000000001</v>
      </c>
      <c r="J58" s="37">
        <v>-20.172681700000002</v>
      </c>
      <c r="K58" s="37">
        <v>-20.185589</v>
      </c>
      <c r="L58" s="39">
        <v>-118999000</v>
      </c>
      <c r="M58" s="39">
        <v>1306000</v>
      </c>
      <c r="N58" s="40">
        <v>1.01E-2</v>
      </c>
      <c r="O58" s="37">
        <v>1.7777777777777777</v>
      </c>
      <c r="P58" s="37">
        <v>1.7622014537902388</v>
      </c>
      <c r="Q58" s="37">
        <v>3.8547400000000002E-2</v>
      </c>
      <c r="S58" s="8">
        <v>-3.14</v>
      </c>
      <c r="W58" t="s">
        <v>15</v>
      </c>
      <c r="X58">
        <v>5</v>
      </c>
    </row>
    <row r="59" spans="1:25" hidden="1" x14ac:dyDescent="0.3">
      <c r="A59" t="s">
        <v>30</v>
      </c>
      <c r="B59" s="8">
        <v>14.906000000000001</v>
      </c>
      <c r="C59" s="9">
        <v>94935244</v>
      </c>
      <c r="D59" s="37">
        <v>0.10678000000000001</v>
      </c>
      <c r="E59" s="37">
        <v>0.58701000000000003</v>
      </c>
      <c r="F59" s="37">
        <v>8.4623500000000004E-2</v>
      </c>
      <c r="G59" s="8">
        <v>382.74453</v>
      </c>
      <c r="J59" s="37">
        <v>-26.8156076</v>
      </c>
      <c r="K59" s="37">
        <v>-10.893239400000001</v>
      </c>
      <c r="L59" s="39">
        <v>-155512000</v>
      </c>
      <c r="O59" s="37">
        <v>-0.93165467625899279</v>
      </c>
      <c r="P59" s="37">
        <v>-0.65967355219476209</v>
      </c>
      <c r="Q59" s="37">
        <v>1.2261941000000001</v>
      </c>
      <c r="S59" s="8">
        <v>-0.95</v>
      </c>
      <c r="W59" t="s">
        <v>15</v>
      </c>
      <c r="X59">
        <v>5</v>
      </c>
    </row>
    <row r="60" spans="1:25" hidden="1" x14ac:dyDescent="0.3">
      <c r="A60" t="s">
        <v>127</v>
      </c>
      <c r="B60" s="8">
        <v>32.378999999999998</v>
      </c>
      <c r="C60" s="9">
        <v>86380322</v>
      </c>
      <c r="D60" s="37">
        <v>0.53664999999999996</v>
      </c>
      <c r="E60" s="37">
        <v>0.10341000000000002</v>
      </c>
      <c r="F60" s="37">
        <v>5.6811899999999999E-2</v>
      </c>
      <c r="G60" s="8">
        <v>1974.32277</v>
      </c>
      <c r="J60" s="37">
        <v>-43.321413700000001</v>
      </c>
      <c r="K60" s="37">
        <v>-110.5091994</v>
      </c>
      <c r="L60" s="39">
        <v>-63937500</v>
      </c>
      <c r="M60" s="39">
        <v>12342600</v>
      </c>
      <c r="N60" s="40">
        <v>1.512E-2</v>
      </c>
      <c r="O60" s="37">
        <v>-5.6380098945206791E-2</v>
      </c>
      <c r="P60" s="37">
        <v>-0.26951507662959828</v>
      </c>
      <c r="S60" s="8">
        <v>-3.9</v>
      </c>
      <c r="W60" t="s">
        <v>15</v>
      </c>
    </row>
    <row r="61" spans="1:25" hidden="1" x14ac:dyDescent="0.3">
      <c r="A61" t="s">
        <v>85</v>
      </c>
      <c r="B61" s="8">
        <v>1.5629999999999999</v>
      </c>
      <c r="C61" s="9">
        <v>20326743</v>
      </c>
      <c r="D61" s="37">
        <v>0.49868000000000001</v>
      </c>
      <c r="E61" s="37">
        <v>3.6040000000000003E-2</v>
      </c>
      <c r="F61" s="37">
        <v>3.5003E-3</v>
      </c>
      <c r="G61" s="8">
        <v>187.21449999999999</v>
      </c>
      <c r="J61" s="37">
        <v>-161.25454070000001</v>
      </c>
      <c r="K61" s="37">
        <v>-141.92313330000002</v>
      </c>
      <c r="L61" s="39">
        <v>-14347117</v>
      </c>
      <c r="M61" s="39">
        <v>2791974</v>
      </c>
      <c r="N61" s="40">
        <v>0.15728</v>
      </c>
      <c r="S61" s="8">
        <v>-0.98</v>
      </c>
      <c r="W61" t="s">
        <v>16</v>
      </c>
      <c r="X61">
        <v>1</v>
      </c>
    </row>
    <row r="62" spans="1:25" hidden="1" x14ac:dyDescent="0.3">
      <c r="A62" t="s">
        <v>93</v>
      </c>
      <c r="B62" s="8">
        <v>1.2569999999999999</v>
      </c>
    </row>
    <row r="63" spans="1:25" hidden="1" x14ac:dyDescent="0.3"/>
    <row r="64" spans="1:25"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sheetData>
  <conditionalFormatting sqref="C5:C62">
    <cfRule type="cellIs" dxfId="9" priority="4" operator="lessThan">
      <formula>10000000</formula>
    </cfRule>
  </conditionalFormatting>
  <conditionalFormatting sqref="D5:D62">
    <cfRule type="cellIs" dxfId="8" priority="3" operator="greaterThan">
      <formula>0.1</formula>
    </cfRule>
  </conditionalFormatting>
  <conditionalFormatting sqref="E5:E61">
    <cfRule type="cellIs" dxfId="7" priority="2" operator="lessThan">
      <formula>0.4</formula>
    </cfRule>
  </conditionalFormatting>
  <conditionalFormatting sqref="F5:F61">
    <cfRule type="cellIs" dxfId="6" priority="1" operator="lessThan">
      <formula>0.06</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835CC-949F-4D23-A835-8704B38EA24B}">
  <sheetPr codeName="Sheet4"/>
  <dimension ref="A1:L36"/>
  <sheetViews>
    <sheetView view="pageLayout" topLeftCell="B1" zoomScale="101" zoomScaleNormal="100" zoomScalePageLayoutView="101" workbookViewId="0">
      <selection activeCell="D27" sqref="D27"/>
    </sheetView>
  </sheetViews>
  <sheetFormatPr defaultRowHeight="13.8" x14ac:dyDescent="0.25"/>
  <cols>
    <col min="1" max="1" width="16" style="16" hidden="1" customWidth="1"/>
    <col min="2" max="2" width="29.21875" style="16" bestFit="1" customWidth="1"/>
    <col min="3" max="3" width="10.6640625" style="16" customWidth="1"/>
    <col min="4" max="4" width="30.88671875" style="16" customWidth="1"/>
    <col min="5" max="5" width="3.77734375" style="48" customWidth="1"/>
    <col min="6" max="6" width="11.33203125" style="48" bestFit="1" customWidth="1"/>
    <col min="7" max="7" width="10.109375" style="16" customWidth="1"/>
    <col min="8" max="8" width="9.109375" style="16" customWidth="1"/>
    <col min="9" max="9" width="9.6640625" style="42" customWidth="1"/>
    <col min="10" max="10" width="10" style="42" customWidth="1"/>
    <col min="11" max="11" width="11.88671875" style="16" customWidth="1"/>
    <col min="12" max="12" width="10.88671875" style="16" customWidth="1"/>
    <col min="13" max="13" width="8.88671875" style="16"/>
    <col min="14" max="14" width="12.44140625" style="16" bestFit="1" customWidth="1"/>
    <col min="15" max="15" width="16.109375" style="16" bestFit="1" customWidth="1"/>
    <col min="16" max="16384" width="8.88671875" style="16"/>
  </cols>
  <sheetData>
    <row r="1" spans="1:12" ht="20.399999999999999" x14ac:dyDescent="0.35">
      <c r="B1" s="34" t="s">
        <v>153</v>
      </c>
      <c r="C1" s="33" t="s">
        <v>58</v>
      </c>
      <c r="D1" s="33" t="s">
        <v>2</v>
      </c>
      <c r="E1" s="41"/>
      <c r="F1" s="16"/>
      <c r="J1" s="43"/>
      <c r="L1" s="42"/>
    </row>
    <row r="2" spans="1:12" ht="17.399999999999999" x14ac:dyDescent="0.3">
      <c r="B2" s="26"/>
      <c r="C2" s="25" t="s">
        <v>27</v>
      </c>
      <c r="D2" s="50" t="str">
        <f ca="1">_xlfn.XLOOKUP($C$2,'LIVE Stock Data'!B2:B69,'LIVE Stock Data'!C2:C69,,0)</f>
        <v>Financial Technology (Fintech) &amp; Infrastructure</v>
      </c>
      <c r="E2" s="41"/>
      <c r="F2" s="16"/>
      <c r="J2" s="16"/>
    </row>
    <row r="3" spans="1:12" x14ac:dyDescent="0.25">
      <c r="B3" s="28" t="s">
        <v>108</v>
      </c>
      <c r="C3" s="27"/>
      <c r="D3" s="27"/>
      <c r="E3" s="44"/>
      <c r="F3" s="16"/>
      <c r="J3" s="16"/>
    </row>
    <row r="4" spans="1:12" x14ac:dyDescent="0.25">
      <c r="B4" s="18" t="s">
        <v>61</v>
      </c>
      <c r="C4" s="29"/>
      <c r="D4" s="28" t="s">
        <v>69</v>
      </c>
      <c r="E4" s="44"/>
      <c r="F4" s="16"/>
      <c r="J4" s="16"/>
    </row>
    <row r="5" spans="1:12" ht="14.4" x14ac:dyDescent="0.3">
      <c r="B5" s="49">
        <f ca="1">_xlfn.XLOOKUP($C$2,'LIVE Stock Data'!B2:B69,'LIVE Stock Data'!D2:D69,,0)</f>
        <v>32658443</v>
      </c>
      <c r="C5" s="29"/>
      <c r="D5" s="18" t="s">
        <v>80</v>
      </c>
      <c r="E5" s="44"/>
      <c r="F5" s="16"/>
      <c r="J5" s="16"/>
    </row>
    <row r="6" spans="1:12" x14ac:dyDescent="0.25">
      <c r="B6" s="27"/>
      <c r="C6" s="27"/>
      <c r="D6" s="19">
        <f>_xlfn.XLOOKUP($C$2,'IMPORTED Stock Data'!A5:A100,'IMPORTED Stock Data'!P5:P100,,0)</f>
        <v>0.86063142599694553</v>
      </c>
      <c r="E6" s="41"/>
      <c r="F6" s="16"/>
      <c r="J6" s="16"/>
    </row>
    <row r="7" spans="1:12" x14ac:dyDescent="0.25">
      <c r="B7" s="18" t="s">
        <v>71</v>
      </c>
      <c r="C7" s="29"/>
      <c r="D7" s="27"/>
      <c r="E7" s="41"/>
      <c r="F7" s="16"/>
      <c r="J7" s="16"/>
    </row>
    <row r="8" spans="1:12" x14ac:dyDescent="0.25">
      <c r="B8" s="21">
        <f>_xlfn.XLOOKUP($C$2,'IMPORTED Stock Data'!A5:A100,'IMPORTED Stock Data'!C5:C100,,0)</f>
        <v>2520435</v>
      </c>
      <c r="C8" s="27"/>
      <c r="D8" s="18" t="s">
        <v>81</v>
      </c>
      <c r="E8" s="41"/>
      <c r="F8" s="16"/>
      <c r="J8" s="16"/>
    </row>
    <row r="9" spans="1:12" x14ac:dyDescent="0.25">
      <c r="B9" s="27"/>
      <c r="C9" s="27"/>
      <c r="D9" s="19">
        <f>_xlfn.XLOOKUP($C$2,'IMPORTED Stock Data'!A5:A100,'IMPORTED Stock Data'!T5:T100,,0)</f>
        <v>0.13821138211382111</v>
      </c>
      <c r="E9" s="41"/>
      <c r="F9" s="16"/>
      <c r="J9" s="16"/>
    </row>
    <row r="10" spans="1:12" x14ac:dyDescent="0.25">
      <c r="B10" s="18" t="s">
        <v>75</v>
      </c>
      <c r="C10" s="27"/>
      <c r="D10" s="27"/>
      <c r="E10" s="41"/>
      <c r="F10" s="16"/>
      <c r="J10" s="16"/>
    </row>
    <row r="11" spans="1:12" ht="14.4" x14ac:dyDescent="0.3">
      <c r="B11" s="53">
        <f ca="1">_xlfn.XLOOKUP($C$2,'LIVE Stock Data'!B2:B69,'LIVE Stock Data'!E2:E69,,0)</f>
        <v>7.02</v>
      </c>
      <c r="C11" s="27"/>
      <c r="D11" s="18" t="s">
        <v>72</v>
      </c>
      <c r="E11" s="41"/>
      <c r="F11" s="16"/>
      <c r="G11" s="45"/>
      <c r="J11" s="16"/>
    </row>
    <row r="12" spans="1:12" ht="14.4" x14ac:dyDescent="0.3">
      <c r="B12" s="27"/>
      <c r="C12" s="27"/>
      <c r="D12" s="52">
        <f ca="1">_xlfn.XLOOKUP($C$2,'LIVE Stock Data'!B2:B69,'LIVE Stock Data'!M2:M69,,0)</f>
        <v>1.5857000000000001</v>
      </c>
      <c r="E12" s="44"/>
      <c r="F12" s="16"/>
      <c r="H12" s="42"/>
      <c r="J12" s="16"/>
    </row>
    <row r="13" spans="1:12" x14ac:dyDescent="0.25">
      <c r="A13" s="17" t="s">
        <v>57</v>
      </c>
      <c r="B13" s="18" t="s">
        <v>70</v>
      </c>
      <c r="C13" s="27"/>
      <c r="D13" s="27"/>
      <c r="E13" s="44"/>
      <c r="F13" s="16"/>
      <c r="H13" s="42"/>
      <c r="J13" s="16"/>
    </row>
    <row r="14" spans="1:12" x14ac:dyDescent="0.25">
      <c r="A14" s="23">
        <f ca="1">$B$11</f>
        <v>7.02</v>
      </c>
      <c r="B14" s="32">
        <f>_xlfn.XLOOKUP($C$2,'IMPORTED Stock Data'!A5:A100,'IMPORTED Stock Data'!B5:B100)</f>
        <v>8.4909999999999997</v>
      </c>
      <c r="C14" s="27"/>
      <c r="D14" s="18" t="s">
        <v>138</v>
      </c>
      <c r="E14" s="44"/>
      <c r="F14" s="16"/>
      <c r="H14" s="42"/>
      <c r="J14" s="16"/>
    </row>
    <row r="15" spans="1:12" x14ac:dyDescent="0.25">
      <c r="B15" s="20" t="str">
        <f ca="1">IF(A14&gt;B14, "Yes", "No")</f>
        <v>No</v>
      </c>
      <c r="C15" s="27"/>
      <c r="D15" s="46">
        <f>_xlfn.XLOOKUP($C$2,'IMPORTED Stock Data'!A5:A62,'IMPORTED Stock Data'!J5:J62,,0)</f>
        <v>0.06</v>
      </c>
      <c r="E15" s="47"/>
      <c r="F15" s="16"/>
      <c r="H15" s="42"/>
      <c r="J15" s="16"/>
    </row>
    <row r="16" spans="1:12" x14ac:dyDescent="0.25">
      <c r="A16" s="17" t="s">
        <v>6</v>
      </c>
      <c r="B16" s="27"/>
      <c r="C16" s="27"/>
      <c r="D16" s="27"/>
      <c r="E16" s="44"/>
      <c r="F16" s="16"/>
      <c r="H16" s="42"/>
      <c r="J16" s="16"/>
    </row>
    <row r="17" spans="1:10" ht="14.4" x14ac:dyDescent="0.3">
      <c r="A17" s="2">
        <f ca="1">_xlfn.XLOOKUP($C$2,'LIVE Stock Data'!B2:B69,'LIVE Stock Data'!J2:J69,,0)</f>
        <v>23374</v>
      </c>
      <c r="B17" s="18" t="s">
        <v>82</v>
      </c>
      <c r="C17" s="29"/>
      <c r="D17" s="18" t="s">
        <v>109</v>
      </c>
      <c r="E17" s="44"/>
      <c r="F17" s="16"/>
      <c r="H17" s="42"/>
      <c r="J17" s="16"/>
    </row>
    <row r="18" spans="1:10" x14ac:dyDescent="0.25">
      <c r="A18" s="17" t="s">
        <v>73</v>
      </c>
      <c r="B18" s="19">
        <f ca="1">(A17-A19)/A19</f>
        <v>-0.57215551325230629</v>
      </c>
      <c r="C18" s="27"/>
      <c r="D18" s="22">
        <f>_xlfn.XLOOKUP($C$2,'IMPORTED Stock Data'!A5:A100,'IMPORTED Stock Data'!N5:N100,"Not Found")</f>
        <v>2.5010000000000001E-2</v>
      </c>
      <c r="E18" s="44"/>
      <c r="F18" s="16"/>
      <c r="H18" s="42"/>
      <c r="J18" s="16"/>
    </row>
    <row r="19" spans="1:10" ht="14.4" x14ac:dyDescent="0.3">
      <c r="A19" s="2">
        <f ca="1">_xlfn.XLOOKUP($C$2,'LIVE Stock Data'!B2:B69,'LIVE Stock Data'!K2:K69,,0)</f>
        <v>54632</v>
      </c>
      <c r="B19" s="27"/>
      <c r="C19" s="27"/>
      <c r="D19" s="27"/>
      <c r="E19" s="44"/>
      <c r="F19" s="16"/>
      <c r="H19" s="42"/>
      <c r="J19" s="16"/>
    </row>
    <row r="20" spans="1:10" x14ac:dyDescent="0.25">
      <c r="B20" s="18" t="s">
        <v>74</v>
      </c>
      <c r="C20" s="27"/>
      <c r="D20" s="18" t="s">
        <v>76</v>
      </c>
      <c r="E20" s="44"/>
      <c r="F20" s="16"/>
      <c r="H20" s="42"/>
      <c r="J20" s="16"/>
    </row>
    <row r="21" spans="1:10" x14ac:dyDescent="0.25">
      <c r="A21" s="17" t="s">
        <v>39</v>
      </c>
      <c r="B21" s="20" t="str">
        <f ca="1">IF(TODAY()-A22&lt;=365, "Yes", "No")</f>
        <v>No</v>
      </c>
      <c r="C21" s="27"/>
      <c r="D21" s="19">
        <f>_xlfn.XLOOKUP($C$2,'IMPORTED Stock Data'!A5:A100,'IMPORTED Stock Data'!F5:F100,,0)</f>
        <v>3.1268900000000002E-2</v>
      </c>
      <c r="E21" s="44"/>
      <c r="F21" s="16"/>
      <c r="H21" s="42"/>
      <c r="J21" s="16"/>
    </row>
    <row r="22" spans="1:10" x14ac:dyDescent="0.25">
      <c r="A22" s="31">
        <f>_xlfn.XLOOKUP($C$2,'IMPORTED Stock Data'!A5:A100,'IMPORTED Stock Data'!Y5:Y100,,0)</f>
        <v>42731</v>
      </c>
      <c r="B22" s="27"/>
      <c r="C22" s="27"/>
      <c r="D22" s="27"/>
      <c r="E22" s="44"/>
      <c r="F22" s="16"/>
      <c r="H22" s="42"/>
      <c r="J22" s="16"/>
    </row>
    <row r="23" spans="1:10" x14ac:dyDescent="0.25">
      <c r="B23" s="18" t="s">
        <v>51</v>
      </c>
      <c r="C23" s="27"/>
      <c r="D23" s="18" t="s">
        <v>110</v>
      </c>
      <c r="E23" s="44"/>
      <c r="F23" s="16"/>
      <c r="H23" s="42"/>
      <c r="J23" s="16"/>
    </row>
    <row r="24" spans="1:10" x14ac:dyDescent="0.25">
      <c r="B24" s="20" t="str">
        <f>_xlfn.XLOOKUP($C$2,'IMPORTED Stock Data'!A5:A100,'IMPORTED Stock Data'!W5:W100,,0)</f>
        <v>No</v>
      </c>
      <c r="C24" s="27"/>
      <c r="D24" s="19">
        <f>_xlfn.XLOOKUP($C$2,'IMPORTED Stock Data'!A5:A100,'IMPORTED Stock Data'!D5:D100,,0)</f>
        <v>0.23253000000000001</v>
      </c>
      <c r="E24" s="44"/>
      <c r="F24" s="16"/>
      <c r="H24" s="42"/>
      <c r="J24" s="16"/>
    </row>
    <row r="25" spans="1:10" x14ac:dyDescent="0.25">
      <c r="B25" s="27"/>
      <c r="C25" s="27"/>
      <c r="D25" s="27"/>
      <c r="E25" s="44"/>
      <c r="F25" s="16"/>
      <c r="H25" s="42"/>
      <c r="J25" s="16"/>
    </row>
    <row r="26" spans="1:10" x14ac:dyDescent="0.25">
      <c r="B26" s="18" t="s">
        <v>52</v>
      </c>
      <c r="C26" s="27"/>
      <c r="D26" s="18" t="s">
        <v>84</v>
      </c>
      <c r="E26" s="44"/>
      <c r="F26" s="16"/>
      <c r="H26" s="42"/>
      <c r="J26" s="16"/>
    </row>
    <row r="27" spans="1:10" x14ac:dyDescent="0.25">
      <c r="B27" s="24">
        <f>_xlfn.XLOOKUP($C$2,'IMPORTED Stock Data'!A5:A100,'IMPORTED Stock Data'!X5:X100,,0)</f>
        <v>0</v>
      </c>
      <c r="C27" s="27"/>
      <c r="D27" s="19">
        <f>_xlfn.XLOOKUP($C$2,'IMPORTED Stock Data'!A5:A100,'IMPORTED Stock Data'!E5:E100,,0)</f>
        <v>2.2960000000000001E-2</v>
      </c>
      <c r="E27" s="44"/>
      <c r="F27" s="16"/>
      <c r="H27" s="42"/>
      <c r="J27" s="16"/>
    </row>
    <row r="28" spans="1:10" x14ac:dyDescent="0.25">
      <c r="B28" s="27"/>
      <c r="C28" s="30"/>
      <c r="D28" s="27"/>
      <c r="E28" s="44"/>
      <c r="F28" s="16"/>
      <c r="H28" s="42"/>
      <c r="J28" s="16"/>
    </row>
    <row r="29" spans="1:10" x14ac:dyDescent="0.25">
      <c r="B29" s="35" t="s">
        <v>111</v>
      </c>
      <c r="C29" s="30"/>
      <c r="D29" s="28"/>
      <c r="E29" s="44"/>
      <c r="F29" s="16"/>
      <c r="H29" s="42"/>
      <c r="J29" s="16"/>
    </row>
    <row r="30" spans="1:10" ht="14.4" x14ac:dyDescent="0.3">
      <c r="B30" s="51" t="str">
        <f ca="1">_xlfn.XLOOKUP($C$2,'LIVE Stock Data'!B2:B69,'LIVE Stock Data'!Q2:Q69,,0)</f>
        <v>CN</v>
      </c>
      <c r="C30" s="27"/>
      <c r="D30" s="54"/>
      <c r="E30" s="44"/>
      <c r="F30" s="16"/>
      <c r="H30" s="42"/>
      <c r="J30" s="16"/>
    </row>
    <row r="31" spans="1:10" x14ac:dyDescent="0.25">
      <c r="B31" s="27"/>
      <c r="C31" s="27"/>
      <c r="D31" s="27"/>
      <c r="E31" s="44"/>
      <c r="F31" s="16"/>
    </row>
    <row r="36" spans="3:3" x14ac:dyDescent="0.25">
      <c r="C36" s="17"/>
    </row>
  </sheetData>
  <conditionalFormatting sqref="B21">
    <cfRule type="expression" dxfId="5" priority="34">
      <formula>EXACT($B$21,"Yes")</formula>
    </cfRule>
    <cfRule type="expression" dxfId="4" priority="35">
      <formula>EXACT($B$21,"No")</formula>
    </cfRule>
  </conditionalFormatting>
  <conditionalFormatting sqref="B8">
    <cfRule type="iconSet" priority="32">
      <iconSet reverse="1">
        <cfvo type="percent" val="0"/>
        <cfvo type="num" val="10000000" gte="0"/>
        <cfvo type="num" val="100000000" gte="0"/>
      </iconSet>
    </cfRule>
  </conditionalFormatting>
  <conditionalFormatting sqref="B15">
    <cfRule type="expression" dxfId="3" priority="27">
      <formula>EXACT($B$15,"No")</formula>
    </cfRule>
    <cfRule type="expression" dxfId="2" priority="28">
      <formula>EXACT($B$15, "Yes")</formula>
    </cfRule>
  </conditionalFormatting>
  <conditionalFormatting sqref="B24">
    <cfRule type="expression" dxfId="1" priority="25">
      <formula>EXACT($B$24,"Yes")</formula>
    </cfRule>
    <cfRule type="expression" dxfId="0" priority="26">
      <formula>EXACT($B$24,"No")</formula>
    </cfRule>
  </conditionalFormatting>
  <conditionalFormatting sqref="B5">
    <cfRule type="iconSet" priority="39">
      <iconSet iconSet="5Rating">
        <cfvo type="percent" val="0"/>
        <cfvo type="num" val="10000000"/>
        <cfvo type="num" val="100000000"/>
        <cfvo type="num" val="1000000000"/>
        <cfvo type="num" val="10000000000"/>
      </iconSet>
    </cfRule>
  </conditionalFormatting>
  <conditionalFormatting sqref="D6">
    <cfRule type="iconSet" priority="22">
      <iconSet iconSet="4Arrows">
        <cfvo type="percent" val="0"/>
        <cfvo type="num" val="-0.1"/>
        <cfvo type="num" val="0"/>
        <cfvo type="num" val="0.2"/>
      </iconSet>
    </cfRule>
  </conditionalFormatting>
  <conditionalFormatting sqref="B11">
    <cfRule type="iconSet" priority="38">
      <iconSet reverse="1">
        <cfvo type="percent" val="0"/>
        <cfvo type="num" val="15"/>
        <cfvo type="num" val="25"/>
      </iconSet>
    </cfRule>
  </conditionalFormatting>
  <conditionalFormatting sqref="B18">
    <cfRule type="iconSet" priority="5">
      <iconSet iconSet="4Arrows">
        <cfvo type="percent" val="0"/>
        <cfvo type="num" val="-0.25"/>
        <cfvo type="num" val="1E-3"/>
        <cfvo type="num" val="0.99"/>
      </iconSet>
    </cfRule>
  </conditionalFormatting>
  <conditionalFormatting sqref="D15">
    <cfRule type="iconSet" priority="1">
      <iconSet>
        <cfvo type="percent" val="0"/>
        <cfvo type="num" val="0"/>
        <cfvo type="num" val="0.15"/>
      </iconSe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31" id="{00000000-000E-0000-0200-00000F000000}">
            <x14:iconSet iconSet="3Symbols" custom="1">
              <x14:cfvo type="percent">
                <xm:f>0</xm:f>
              </x14:cfvo>
              <x14:cfvo type="num" gte="0">
                <xm:f>0.06</xm:f>
              </x14:cfvo>
              <x14:cfvo type="num" gte="0">
                <xm:f>0.1</xm:f>
              </x14:cfvo>
              <x14:cfIcon iconSet="3Flags" iconId="2"/>
              <x14:cfIcon iconSet="3Flags" iconId="1"/>
              <x14:cfIcon iconSet="3Flags" iconId="0"/>
            </x14:iconSet>
          </x14:cfRule>
          <xm:sqref>D21</xm:sqref>
        </x14:conditionalFormatting>
        <x14:conditionalFormatting xmlns:xm="http://schemas.microsoft.com/office/excel/2006/main">
          <x14:cfRule type="iconSet" priority="24" id="{00000000-000E-0000-0200-000008000000}">
            <x14:iconSet iconSet="3Symbols" custom="1">
              <x14:cfvo type="percent">
                <xm:f>0</xm:f>
              </x14:cfvo>
              <x14:cfvo type="num" gte="0">
                <xm:f>0</xm:f>
              </x14:cfvo>
              <x14:cfvo type="num" gte="0">
                <xm:f>1</xm:f>
              </x14:cfvo>
              <x14:cfIcon iconSet="3TrafficLights1" iconId="2"/>
              <x14:cfIcon iconSet="3TrafficLights1" iconId="1"/>
              <x14:cfIcon iconSet="3TrafficLights1" iconId="0"/>
            </x14:iconSet>
          </x14:cfRule>
          <xm:sqref>B27</xm:sqref>
        </x14:conditionalFormatting>
        <x14:conditionalFormatting xmlns:xm="http://schemas.microsoft.com/office/excel/2006/main">
          <x14:cfRule type="iconSet" priority="18" id="{00000000-000E-0000-0200-000002000000}">
            <x14:iconSet iconSet="3Symbols" custom="1">
              <x14:cfvo type="percent">
                <xm:f>0</xm:f>
              </x14:cfvo>
              <x14:cfvo type="num">
                <xm:f>0.1</xm:f>
              </x14:cfvo>
              <x14:cfvo type="num">
                <xm:f>0.15</xm:f>
              </x14:cfvo>
              <x14:cfIcon iconSet="3TrafficLights1" iconId="0"/>
              <x14:cfIcon iconSet="3TrafficLights1" iconId="1"/>
              <x14:cfIcon iconSet="3TrafficLights1" iconId="2"/>
            </x14:iconSet>
          </x14:cfRule>
          <xm:sqref>D24</xm:sqref>
        </x14:conditionalFormatting>
        <x14:conditionalFormatting xmlns:xm="http://schemas.microsoft.com/office/excel/2006/main">
          <x14:cfRule type="iconSet" priority="17" id="{00000000-000E-0000-0200-000001000000}">
            <x14:iconSet iconSet="3Symbols" custom="1">
              <x14:cfvo type="percent">
                <xm:f>0</xm:f>
              </x14:cfvo>
              <x14:cfvo type="num">
                <xm:f>0.4</xm:f>
              </x14:cfvo>
              <x14:cfvo type="num">
                <xm:f>0.6</xm:f>
              </x14:cfvo>
              <x14:cfIcon iconSet="3TrafficLights1" iconId="2"/>
              <x14:cfIcon iconSet="3TrafficLights1" iconId="1"/>
              <x14:cfIcon iconSet="3TrafficLights1" iconId="0"/>
            </x14:iconSet>
          </x14:cfRule>
          <xm:sqref>D27</xm:sqref>
        </x14:conditionalFormatting>
        <x14:conditionalFormatting xmlns:xm="http://schemas.microsoft.com/office/excel/2006/main">
          <x14:cfRule type="iconSet" priority="33" id="{F3D65620-6DFD-4492-9BC5-66136C2358C3}">
            <x14:iconSet iconSet="4TrafficLights" custom="1">
              <x14:cfvo type="percent">
                <xm:f>0</xm:f>
              </x14:cfvo>
              <x14:cfvo type="num">
                <xm:f>1.0000000000000001E-5</xm:f>
              </x14:cfvo>
              <x14:cfvo type="num">
                <xm:f>10</xm:f>
              </x14:cfvo>
              <x14:cfvo type="num">
                <xm:f>20</xm:f>
              </x14:cfvo>
              <x14:cfIcon iconSet="3Symbols" iconId="1"/>
              <x14:cfIcon iconSet="3TrafficLights1" iconId="2"/>
              <x14:cfIcon iconSet="3TrafficLights1" iconId="1"/>
              <x14:cfIcon iconSet="3TrafficLights1" iconId="0"/>
            </x14:iconSet>
          </x14:cfRule>
          <xm:sqref>D12</xm:sqref>
        </x14:conditionalFormatting>
        <x14:conditionalFormatting xmlns:xm="http://schemas.microsoft.com/office/excel/2006/main">
          <x14:cfRule type="iconSet" priority="21" id="{E2AF7AE4-EDE4-44AC-994C-33BD8BB3D899}">
            <x14:iconSet iconSet="4Arrows" custom="1">
              <x14:cfvo type="percent">
                <xm:f>0</xm:f>
              </x14:cfvo>
              <x14:cfvo type="num">
                <xm:f>0</xm:f>
              </x14:cfvo>
              <x14:cfvo type="num">
                <xm:f>9.9999999999999995E-7</xm:f>
              </x14:cfvo>
              <x14:cfvo type="num">
                <xm:f>0.1</xm:f>
              </x14:cfvo>
              <x14:cfIcon iconSet="3Arrows" iconId="0"/>
              <x14:cfIcon iconSet="3Symbols2" iconId="1"/>
              <x14:cfIcon iconSet="4Arrows" iconId="2"/>
              <x14:cfIcon iconSet="3Arrows" iconId="2"/>
            </x14:iconSet>
          </x14:cfRule>
          <xm:sqref>D9</xm:sqref>
        </x14:conditionalFormatting>
        <x14:conditionalFormatting xmlns:xm="http://schemas.microsoft.com/office/excel/2006/main">
          <x14:cfRule type="iconSet" priority="19" id="{AD041E1B-46D8-4749-8067-FE6BD09AD158}">
            <x14:iconSet iconSet="4TrafficLights" custom="1">
              <x14:cfvo type="percent">
                <xm:f>0</xm:f>
              </x14:cfvo>
              <x14:cfvo type="num">
                <xm:f>9.9999999999999995E-7</xm:f>
              </x14:cfvo>
              <x14:cfvo type="num">
                <xm:f>0.3</xm:f>
              </x14:cfvo>
              <x14:cfvo type="num">
                <xm:f>1</xm:f>
              </x14:cfvo>
              <x14:cfIcon iconSet="3Symbols" iconId="1"/>
              <x14:cfIcon iconSet="3Flags" iconId="2"/>
              <x14:cfIcon iconSet="3Flags" iconId="1"/>
              <x14:cfIcon iconSet="3Flags" iconId="0"/>
            </x14:iconSet>
          </x14:cfRule>
          <xm:sqref>D18</xm:sqref>
        </x14:conditionalFormatting>
        <x14:conditionalFormatting xmlns:xm="http://schemas.microsoft.com/office/excel/2006/main">
          <x14:cfRule type="iconSet" priority="15" id="{DD96FA28-1F47-423C-A557-006A6D7E8F42}">
            <x14:iconSet iconSet="3Stars">
              <x14:cfvo type="percent">
                <xm:f>0</xm:f>
              </x14:cfvo>
              <x14:cfvo type="num">
                <xm:f>50</xm:f>
              </x14:cfvo>
              <x14:cfvo type="num">
                <xm:f>75</xm:f>
              </x14:cfvo>
            </x14:iconSet>
          </x14:cfRule>
          <xm:sqref>D31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LIVE Stock Data</vt:lpstr>
      <vt:lpstr>Volume Pivot Chart</vt:lpstr>
      <vt:lpstr>Pivot Chart</vt:lpstr>
      <vt:lpstr>IMPORTED Stock Data</vt:lpstr>
      <vt:lpstr>Is it a SuperStock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Jeffery Batt</dc:creator>
  <cp:lastModifiedBy>Jeffery Batt</cp:lastModifiedBy>
  <cp:lastPrinted>2025-02-11T23:31:07Z</cp:lastPrinted>
  <dcterms:created xsi:type="dcterms:W3CDTF">2025-02-07T21:39:03Z</dcterms:created>
  <dcterms:modified xsi:type="dcterms:W3CDTF">2025-03-08T22:47:04Z</dcterms:modified>
</cp:coreProperties>
</file>